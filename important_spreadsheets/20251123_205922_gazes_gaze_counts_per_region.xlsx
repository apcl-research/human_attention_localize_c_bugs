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ory\Documents\git_projects\Research\bug_identification\scripts\20251124_113211_get_region_times_20251123_205922_gazes_outputs\"/>
    </mc:Choice>
  </mc:AlternateContent>
  <xr:revisionPtr revIDLastSave="0" documentId="13_ncr:40009_{D2AEE16F-FEDE-4F46-B4B3-7E3CDB19619B}" xr6:coauthVersionLast="47" xr6:coauthVersionMax="47" xr10:uidLastSave="{00000000-0000-0000-0000-000000000000}"/>
  <bookViews>
    <workbookView xWindow="28680" yWindow="-120" windowWidth="38640" windowHeight="15720"/>
  </bookViews>
  <sheets>
    <sheet name="20251123_205922_gazes_gaze_coun" sheetId="1" r:id="rId1"/>
  </sheets>
  <calcPr calcId="0"/>
</workbook>
</file>

<file path=xl/calcChain.xml><?xml version="1.0" encoding="utf-8"?>
<calcChain xmlns="http://schemas.openxmlformats.org/spreadsheetml/2006/main">
  <c r="AE191" i="1" l="1"/>
  <c r="AE185" i="1"/>
  <c r="AE175" i="1"/>
  <c r="AE164" i="1"/>
  <c r="AE152" i="1"/>
  <c r="AE142" i="1"/>
  <c r="AE122" i="1"/>
  <c r="AE110" i="1"/>
  <c r="AE104" i="1"/>
  <c r="AE96" i="1"/>
  <c r="AE86" i="1"/>
  <c r="AE76" i="1"/>
  <c r="AE66" i="1"/>
  <c r="AE61" i="1"/>
  <c r="AE55" i="1"/>
  <c r="AE50" i="1"/>
  <c r="AE42" i="1"/>
  <c r="AE35" i="1"/>
  <c r="AE26" i="1"/>
  <c r="AE19" i="1"/>
  <c r="AE12" i="1"/>
  <c r="AB191" i="1"/>
  <c r="AC191" i="1"/>
  <c r="AD191" i="1"/>
  <c r="AA191" i="1"/>
  <c r="AD190" i="1"/>
  <c r="AC190" i="1"/>
  <c r="AB190" i="1"/>
  <c r="AA190" i="1"/>
  <c r="X191" i="1"/>
  <c r="W191" i="1"/>
  <c r="Y191" i="1"/>
  <c r="AD185" i="1"/>
  <c r="AC185" i="1"/>
  <c r="AD184" i="1"/>
  <c r="AC184" i="1"/>
  <c r="X185" i="1"/>
  <c r="W185" i="1"/>
  <c r="Y185" i="1"/>
  <c r="AB175" i="1"/>
  <c r="AC175" i="1"/>
  <c r="AD175" i="1"/>
  <c r="AA175" i="1"/>
  <c r="AD174" i="1"/>
  <c r="AC174" i="1"/>
  <c r="AB174" i="1"/>
  <c r="AA174" i="1"/>
  <c r="AD164" i="1"/>
  <c r="AD163" i="1"/>
  <c r="Z188" i="1"/>
  <c r="Z189" i="1"/>
  <c r="Z190" i="1"/>
  <c r="Z187" i="1"/>
  <c r="Z178" i="1"/>
  <c r="Z179" i="1"/>
  <c r="Z180" i="1"/>
  <c r="Z181" i="1"/>
  <c r="Z182" i="1"/>
  <c r="Z183" i="1"/>
  <c r="Z184" i="1"/>
  <c r="Z177" i="1"/>
  <c r="Z3" i="1"/>
  <c r="Z4" i="1"/>
  <c r="Z5" i="1"/>
  <c r="Z6" i="1"/>
  <c r="Z7" i="1"/>
  <c r="Z8" i="1"/>
  <c r="Z9" i="1"/>
  <c r="Z10" i="1"/>
  <c r="Z11" i="1"/>
  <c r="Z2" i="1"/>
  <c r="Z15" i="1"/>
  <c r="Z16" i="1"/>
  <c r="Z17" i="1"/>
  <c r="Z18" i="1"/>
  <c r="Z14" i="1"/>
  <c r="Z22" i="1"/>
  <c r="Z23" i="1"/>
  <c r="Z24" i="1"/>
  <c r="Z25" i="1"/>
  <c r="Z21" i="1"/>
  <c r="Z29" i="1"/>
  <c r="Z30" i="1"/>
  <c r="Z31" i="1"/>
  <c r="Z32" i="1"/>
  <c r="Z33" i="1"/>
  <c r="Z34" i="1"/>
  <c r="Z28" i="1"/>
  <c r="Z38" i="1"/>
  <c r="Z39" i="1"/>
  <c r="Z40" i="1"/>
  <c r="Z41" i="1"/>
  <c r="Z37" i="1"/>
  <c r="Z45" i="1"/>
  <c r="Z46" i="1"/>
  <c r="Z47" i="1"/>
  <c r="Z48" i="1"/>
  <c r="Z49" i="1"/>
  <c r="Z44" i="1"/>
  <c r="Z53" i="1"/>
  <c r="Z54" i="1"/>
  <c r="Z52" i="1"/>
  <c r="Z58" i="1"/>
  <c r="Z59" i="1"/>
  <c r="Z60" i="1"/>
  <c r="Z57" i="1"/>
  <c r="Z64" i="1"/>
  <c r="Z65" i="1"/>
  <c r="Z63" i="1"/>
  <c r="Z69" i="1"/>
  <c r="Z70" i="1"/>
  <c r="Z71" i="1"/>
  <c r="Z72" i="1"/>
  <c r="Z73" i="1"/>
  <c r="Z74" i="1"/>
  <c r="Z75" i="1"/>
  <c r="Z68" i="1"/>
  <c r="Z79" i="1"/>
  <c r="Z80" i="1"/>
  <c r="Z81" i="1"/>
  <c r="Z82" i="1"/>
  <c r="Z83" i="1"/>
  <c r="Z84" i="1"/>
  <c r="Z85" i="1"/>
  <c r="Z78" i="1"/>
  <c r="Z89" i="1"/>
  <c r="Z90" i="1"/>
  <c r="Z91" i="1"/>
  <c r="Z92" i="1"/>
  <c r="Z93" i="1"/>
  <c r="Z94" i="1"/>
  <c r="Z95" i="1"/>
  <c r="Z88" i="1"/>
  <c r="Z99" i="1"/>
  <c r="Z100" i="1"/>
  <c r="Z101" i="1"/>
  <c r="Z102" i="1"/>
  <c r="Z103" i="1"/>
  <c r="Z98" i="1"/>
  <c r="Z107" i="1"/>
  <c r="Z108" i="1"/>
  <c r="Z109" i="1"/>
  <c r="Z106" i="1"/>
  <c r="Z113" i="1"/>
  <c r="Z114" i="1"/>
  <c r="Z115" i="1"/>
  <c r="Z116" i="1"/>
  <c r="Z117" i="1"/>
  <c r="Z118" i="1"/>
  <c r="Z119" i="1"/>
  <c r="Z120" i="1"/>
  <c r="Z121" i="1"/>
  <c r="Z112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24" i="1"/>
  <c r="Z145" i="1"/>
  <c r="Z146" i="1"/>
  <c r="Z147" i="1"/>
  <c r="Z148" i="1"/>
  <c r="Z149" i="1"/>
  <c r="Z150" i="1"/>
  <c r="Z151" i="1"/>
  <c r="Z144" i="1"/>
  <c r="X175" i="1"/>
  <c r="W175" i="1"/>
  <c r="Y175" i="1"/>
  <c r="Z167" i="1"/>
  <c r="Z168" i="1"/>
  <c r="Z169" i="1"/>
  <c r="Z170" i="1"/>
  <c r="Z171" i="1"/>
  <c r="Z172" i="1"/>
  <c r="Z173" i="1"/>
  <c r="Z174" i="1"/>
  <c r="Z166" i="1"/>
  <c r="Z158" i="1"/>
  <c r="Z159" i="1"/>
  <c r="Z160" i="1"/>
  <c r="Z161" i="1"/>
  <c r="Z162" i="1"/>
  <c r="Z163" i="1"/>
  <c r="Z157" i="1"/>
  <c r="X164" i="1"/>
  <c r="W164" i="1"/>
  <c r="Y164" i="1"/>
  <c r="AB152" i="1"/>
  <c r="AC152" i="1"/>
  <c r="AD152" i="1"/>
  <c r="AA152" i="1"/>
  <c r="AD151" i="1"/>
  <c r="AC151" i="1"/>
  <c r="AB151" i="1"/>
  <c r="AA151" i="1"/>
  <c r="X152" i="1"/>
  <c r="W152" i="1"/>
  <c r="Y152" i="1"/>
  <c r="X142" i="1"/>
  <c r="W142" i="1"/>
  <c r="AA142" i="1"/>
  <c r="AA141" i="1"/>
  <c r="Y142" i="1"/>
  <c r="AD122" i="1"/>
  <c r="X122" i="1"/>
  <c r="W122" i="1"/>
  <c r="Y122" i="1"/>
  <c r="AD121" i="1"/>
  <c r="AD110" i="1"/>
  <c r="AD109" i="1"/>
  <c r="X110" i="1"/>
  <c r="W110" i="1"/>
  <c r="Y110" i="1"/>
  <c r="AB104" i="1"/>
  <c r="AC104" i="1"/>
  <c r="AD104" i="1"/>
  <c r="AA104" i="1"/>
  <c r="AD103" i="1"/>
  <c r="AB103" i="1"/>
  <c r="AA103" i="1"/>
  <c r="X104" i="1"/>
  <c r="W104" i="1"/>
  <c r="Y104" i="1"/>
  <c r="X96" i="1"/>
  <c r="W96" i="1"/>
  <c r="AD96" i="1"/>
  <c r="AD95" i="1"/>
  <c r="Y96" i="1"/>
  <c r="AC86" i="1"/>
  <c r="X86" i="1"/>
  <c r="W86" i="1"/>
  <c r="AC85" i="1"/>
  <c r="Y86" i="1"/>
  <c r="X76" i="1"/>
  <c r="W76" i="1"/>
  <c r="AB76" i="1"/>
  <c r="AC76" i="1"/>
  <c r="AD76" i="1"/>
  <c r="AA76" i="1"/>
  <c r="Y76" i="1"/>
  <c r="AD75" i="1"/>
  <c r="AC75" i="1"/>
  <c r="AB75" i="1"/>
  <c r="AA75" i="1"/>
  <c r="X66" i="1"/>
  <c r="W66" i="1"/>
  <c r="AB66" i="1"/>
  <c r="AC66" i="1"/>
  <c r="AD66" i="1"/>
  <c r="AA66" i="1"/>
  <c r="AD65" i="1"/>
  <c r="AC65" i="1"/>
  <c r="AB65" i="1"/>
  <c r="AA65" i="1"/>
  <c r="Y66" i="1"/>
  <c r="X61" i="1"/>
  <c r="W61" i="1"/>
  <c r="AB61" i="1"/>
  <c r="AC61" i="1"/>
  <c r="AD61" i="1"/>
  <c r="AA61" i="1"/>
  <c r="AD60" i="1"/>
  <c r="AC60" i="1"/>
  <c r="AB60" i="1"/>
  <c r="AA60" i="1"/>
  <c r="Y61" i="1"/>
  <c r="X55" i="1"/>
  <c r="W55" i="1"/>
  <c r="AD54" i="1"/>
  <c r="AC54" i="1"/>
  <c r="AB54" i="1"/>
  <c r="AB55" i="1"/>
  <c r="AC55" i="1"/>
  <c r="AD55" i="1"/>
  <c r="AA55" i="1"/>
  <c r="AA54" i="1"/>
  <c r="Y55" i="1"/>
  <c r="AD49" i="1"/>
  <c r="AD50" i="1" s="1"/>
  <c r="AC49" i="1"/>
  <c r="AC50" i="1" s="1"/>
  <c r="AB49" i="1"/>
  <c r="AB50" i="1" s="1"/>
  <c r="AA49" i="1"/>
  <c r="AA50" i="1" s="1"/>
  <c r="Y50" i="1"/>
  <c r="X50" i="1" s="1"/>
  <c r="AB42" i="1"/>
  <c r="AC42" i="1"/>
  <c r="AA42" i="1"/>
  <c r="X42" i="1"/>
  <c r="W42" i="1"/>
  <c r="AD41" i="1"/>
  <c r="AD42" i="1" s="1"/>
  <c r="AB41" i="1"/>
  <c r="AA41" i="1"/>
  <c r="Y42" i="1"/>
  <c r="Y35" i="1"/>
  <c r="X35" i="1" s="1"/>
  <c r="AD34" i="1"/>
  <c r="AD35" i="1" s="1"/>
  <c r="AC34" i="1"/>
  <c r="AC35" i="1" s="1"/>
  <c r="AC25" i="1"/>
  <c r="AC26" i="1" s="1"/>
  <c r="AB25" i="1"/>
  <c r="AB26" i="1" s="1"/>
  <c r="AA25" i="1"/>
  <c r="AA26" i="1" s="1"/>
  <c r="Y26" i="1"/>
  <c r="X26" i="1" s="1"/>
  <c r="AB19" i="1"/>
  <c r="AC19" i="1"/>
  <c r="Y19" i="1"/>
  <c r="X19" i="1" s="1"/>
  <c r="AD18" i="1"/>
  <c r="AD19" i="1" s="1"/>
  <c r="AC18" i="1"/>
  <c r="AB18" i="1"/>
  <c r="AA18" i="1"/>
  <c r="AA19" i="1" s="1"/>
  <c r="Y12" i="1"/>
  <c r="X12" i="1" s="1"/>
  <c r="AC11" i="1"/>
  <c r="AC12" i="1" s="1"/>
  <c r="AB11" i="1"/>
  <c r="AB12" i="1" s="1"/>
  <c r="AA11" i="1"/>
  <c r="AA12" i="1" s="1"/>
  <c r="W50" i="1" l="1"/>
  <c r="AD26" i="1"/>
  <c r="AD12" i="1"/>
  <c r="W26" i="1"/>
  <c r="W12" i="1"/>
  <c r="W35" i="1"/>
  <c r="W19" i="1"/>
</calcChain>
</file>

<file path=xl/sharedStrings.xml><?xml version="1.0" encoding="utf-8"?>
<sst xmlns="http://schemas.openxmlformats.org/spreadsheetml/2006/main" count="1636" uniqueCount="274">
  <si>
    <t>session</t>
  </si>
  <si>
    <t>participant_id</t>
  </si>
  <si>
    <t>bug</t>
  </si>
  <si>
    <t>start</t>
  </si>
  <si>
    <t>end</t>
  </si>
  <si>
    <t>region1_gaze_count</t>
  </si>
  <si>
    <t>region1_name</t>
  </si>
  <si>
    <t>region1_topleft</t>
  </si>
  <si>
    <t>region1_bottomright</t>
  </si>
  <si>
    <t>region2_gaze_count</t>
  </si>
  <si>
    <t>region2_name</t>
  </si>
  <si>
    <t>region2_topleft</t>
  </si>
  <si>
    <t>region2_bottomright</t>
  </si>
  <si>
    <t>region3_gaze_count</t>
  </si>
  <si>
    <t>region3_name</t>
  </si>
  <si>
    <t>region3_topleft</t>
  </si>
  <si>
    <t>region3_bottomright</t>
  </si>
  <si>
    <t>region4_gaze_count</t>
  </si>
  <si>
    <t>region4_name</t>
  </si>
  <si>
    <t>region4_topleft</t>
  </si>
  <si>
    <t>region4_bottomright</t>
  </si>
  <si>
    <t>Note</t>
  </si>
  <si>
    <t>out_of_bounds</t>
  </si>
  <si>
    <t>no_x_y</t>
  </si>
  <si>
    <t>total_gazes</t>
  </si>
  <si>
    <t>p1_ladybug_1454</t>
  </si>
  <si>
    <t>p1</t>
  </si>
  <si>
    <t>ladybug</t>
  </si>
  <si>
    <t>code_report</t>
  </si>
  <si>
    <t>(470,70)</t>
  </si>
  <si>
    <t>fileExplorer</t>
  </si>
  <si>
    <t>(0,70)</t>
  </si>
  <si>
    <t>iTrace</t>
  </si>
  <si>
    <t>p1_ladybug_1500</t>
  </si>
  <si>
    <t xml:space="preserve">assuming coordinates don't change after 1454. these coordinates are assumed, not measured </t>
  </si>
  <si>
    <t>p1_ladybug_1504</t>
  </si>
  <si>
    <t>p1_ladybug_1506</t>
  </si>
  <si>
    <t>p1_stonefly_1515</t>
  </si>
  <si>
    <t>stonefly</t>
  </si>
  <si>
    <t xml:space="preserve">looked briefly at coordinates. Very close to coordinates from ladybug, so not changing. </t>
  </si>
  <si>
    <t>p1_stonefly_1516</t>
  </si>
  <si>
    <t>p1_hornet</t>
  </si>
  <si>
    <t>hornet</t>
  </si>
  <si>
    <t xml:space="preserve">pretty close to previous, but y got shifted down 30 </t>
  </si>
  <si>
    <t>p1_silverfish</t>
  </si>
  <si>
    <t>silverfish</t>
  </si>
  <si>
    <t>p1_praying_mantis</t>
  </si>
  <si>
    <t>praying_mantis</t>
  </si>
  <si>
    <t>p1_spider</t>
  </si>
  <si>
    <t>spider</t>
  </si>
  <si>
    <t>p2_ladybug</t>
  </si>
  <si>
    <t>p2</t>
  </si>
  <si>
    <t>p2_stonefly</t>
  </si>
  <si>
    <t>AI</t>
  </si>
  <si>
    <t>expanded AI chat window to see text better</t>
  </si>
  <si>
    <t xml:space="preserve">expanded AI chat window more </t>
  </si>
  <si>
    <t>p2_hornet</t>
  </si>
  <si>
    <t>ys got shifted down again</t>
  </si>
  <si>
    <t>p3_hornet</t>
  </si>
  <si>
    <t>p3</t>
  </si>
  <si>
    <t>(285,70)</t>
  </si>
  <si>
    <t>removed AI/iTrace window</t>
  </si>
  <si>
    <t>p3_ladybug</t>
  </si>
  <si>
    <t>p3_praying_mantis</t>
  </si>
  <si>
    <t>p3_silverfish</t>
  </si>
  <si>
    <t>p3_stonefly</t>
  </si>
  <si>
    <t>p4_firefly</t>
  </si>
  <si>
    <t>p4</t>
  </si>
  <si>
    <t>firefly</t>
  </si>
  <si>
    <t>report</t>
  </si>
  <si>
    <t>(795,70)</t>
  </si>
  <si>
    <t>code_fileExplorer</t>
  </si>
  <si>
    <t>expanded file Explorer side and looked at code on that side (left side)</t>
  </si>
  <si>
    <t>p4_ladybug</t>
  </si>
  <si>
    <t>(415,70)</t>
  </si>
  <si>
    <t>(714,70)</t>
  </si>
  <si>
    <t>expanded AI more</t>
  </si>
  <si>
    <t>p4_praying_mantis</t>
  </si>
  <si>
    <t>(924,70)</t>
  </si>
  <si>
    <t>p4_stonefly</t>
  </si>
  <si>
    <t>(798,70)</t>
  </si>
  <si>
    <t>p4_weevil</t>
  </si>
  <si>
    <t>weevil</t>
  </si>
  <si>
    <t>p5_firefly</t>
  </si>
  <si>
    <t>p5</t>
  </si>
  <si>
    <t>(468,70)</t>
  </si>
  <si>
    <t>code</t>
  </si>
  <si>
    <t>(1180,70)</t>
  </si>
  <si>
    <t xml:space="preserve">split into code and report. Report is always on right side in other bugs, so assuming that is the case for this bug, however, this video freezes pretty early in. </t>
  </si>
  <si>
    <t>p5_ladybug</t>
  </si>
  <si>
    <t>(375,70)</t>
  </si>
  <si>
    <t>(995,70)</t>
  </si>
  <si>
    <t xml:space="preserve">there was quite a bit of configuring before the 4 min mark, but I am not going to put all those tiny changes in. at this point, the file explorer is skinnier than it will be later. </t>
  </si>
  <si>
    <t>(627,70)</t>
  </si>
  <si>
    <t>(1145,70)</t>
  </si>
  <si>
    <t>not sure what happened much after the 4 min mark since video froze</t>
  </si>
  <si>
    <t>p5_stonefly</t>
  </si>
  <si>
    <t>(1095,70)</t>
  </si>
  <si>
    <t>p5_weevil</t>
  </si>
  <si>
    <t>(326,70)</t>
  </si>
  <si>
    <t>(1018,70)</t>
  </si>
  <si>
    <t>p6_ladybug</t>
  </si>
  <si>
    <t>p6</t>
  </si>
  <si>
    <t>(490,70)</t>
  </si>
  <si>
    <t>p6_firefly</t>
  </si>
  <si>
    <t>p6_praying_mantis</t>
  </si>
  <si>
    <t>p6_spider</t>
  </si>
  <si>
    <t>p6_stonefly</t>
  </si>
  <si>
    <t>p6_weevil</t>
  </si>
  <si>
    <t>p7_ladybug</t>
  </si>
  <si>
    <t>p7</t>
  </si>
  <si>
    <t>p7_praying_mantis</t>
  </si>
  <si>
    <t>p7_stonefly</t>
  </si>
  <si>
    <t>p8_firefly</t>
  </si>
  <si>
    <t>p8</t>
  </si>
  <si>
    <t>p8_hornet</t>
  </si>
  <si>
    <t>p8_ladybug</t>
  </si>
  <si>
    <t>p8_stonefly</t>
  </si>
  <si>
    <t>p9_hornet</t>
  </si>
  <si>
    <t>p9</t>
  </si>
  <si>
    <t>p9_ladybug</t>
  </si>
  <si>
    <t>p9_stonefly</t>
  </si>
  <si>
    <t>p10_firefly</t>
  </si>
  <si>
    <t>p10</t>
  </si>
  <si>
    <t>(0,715)</t>
  </si>
  <si>
    <t>p10_hornet</t>
  </si>
  <si>
    <t>(0,723)</t>
  </si>
  <si>
    <t>p10_ladybug</t>
  </si>
  <si>
    <t>(0,760)</t>
  </si>
  <si>
    <t>p10_ladybug_2</t>
  </si>
  <si>
    <t>(0,576)</t>
  </si>
  <si>
    <t>p10_stonefly</t>
  </si>
  <si>
    <t>(0,750)</t>
  </si>
  <si>
    <t>p11_firefly</t>
  </si>
  <si>
    <t>p11</t>
  </si>
  <si>
    <t>(605,70)</t>
  </si>
  <si>
    <t>(0,820)</t>
  </si>
  <si>
    <t>p11_ladybug</t>
  </si>
  <si>
    <t>(0,825)</t>
  </si>
  <si>
    <t>(572,70)</t>
  </si>
  <si>
    <t>fileExplorer_code</t>
  </si>
  <si>
    <t>(719,70)</t>
  </si>
  <si>
    <t>(606,70)</t>
  </si>
  <si>
    <t>p11_stonefly</t>
  </si>
  <si>
    <t>(740,70)</t>
  </si>
  <si>
    <t>p11_weevil</t>
  </si>
  <si>
    <t>(650,70)</t>
  </si>
  <si>
    <t>p11_weevil_2</t>
  </si>
  <si>
    <t>p12_ladybug</t>
  </si>
  <si>
    <t>p12</t>
  </si>
  <si>
    <t>(355,70)</t>
  </si>
  <si>
    <t>(1248, 825)</t>
  </si>
  <si>
    <t>(1248,70)</t>
  </si>
  <si>
    <t>(829, 70)</t>
  </si>
  <si>
    <t>p12_stonefly</t>
  </si>
  <si>
    <t>(829,70)</t>
  </si>
  <si>
    <t>(960,70)</t>
  </si>
  <si>
    <t>(0,755)</t>
  </si>
  <si>
    <t>p12_silverfish</t>
  </si>
  <si>
    <t>(1085,70)</t>
  </si>
  <si>
    <t>(785,70)</t>
  </si>
  <si>
    <t>(1100,70)</t>
  </si>
  <si>
    <t>p13_ladybug</t>
  </si>
  <si>
    <t>p13</t>
  </si>
  <si>
    <t>(300,70)</t>
  </si>
  <si>
    <t>p13_stonefly_1</t>
  </si>
  <si>
    <t>(300, 755)</t>
  </si>
  <si>
    <t>p13_stonefly_2</t>
  </si>
  <si>
    <t>p13_silverfish</t>
  </si>
  <si>
    <t>p13_praying_mantis</t>
  </si>
  <si>
    <t>p13_weevil</t>
  </si>
  <si>
    <t>p14_ladybug</t>
  </si>
  <si>
    <t>p14</t>
  </si>
  <si>
    <t>(780,70)</t>
  </si>
  <si>
    <t>(0,710)</t>
  </si>
  <si>
    <t>p14_stonefly</t>
  </si>
  <si>
    <t>p14_silverfish</t>
  </si>
  <si>
    <t>p15_ladybug</t>
  </si>
  <si>
    <t>p15</t>
  </si>
  <si>
    <t>(400,70)</t>
  </si>
  <si>
    <t>(0,826)</t>
  </si>
  <si>
    <t>(738,70)</t>
  </si>
  <si>
    <t>(0,770)</t>
  </si>
  <si>
    <t>p15_stonefly</t>
  </si>
  <si>
    <t>(800,70)</t>
  </si>
  <si>
    <t>p15_praying_mantis</t>
  </si>
  <si>
    <t>(855,70)</t>
  </si>
  <si>
    <t>p15_spider</t>
  </si>
  <si>
    <t>(0,780)</t>
  </si>
  <si>
    <t>(0,660)</t>
  </si>
  <si>
    <t>(0,890)</t>
  </si>
  <si>
    <t>p15_weevil</t>
  </si>
  <si>
    <t>p16_ladybug_1</t>
  </si>
  <si>
    <t>p16</t>
  </si>
  <si>
    <t>(0,870)</t>
  </si>
  <si>
    <t>p16_ladybug_2</t>
  </si>
  <si>
    <t>p16_ladybug_3</t>
  </si>
  <si>
    <t>(1035,70)</t>
  </si>
  <si>
    <t>p16_ladybug_4</t>
  </si>
  <si>
    <t>p16_stonefly_1</t>
  </si>
  <si>
    <t>(0,735)</t>
  </si>
  <si>
    <t>p16_stonefly_2</t>
  </si>
  <si>
    <t>AI_code</t>
  </si>
  <si>
    <t>p16_stonefly_3</t>
  </si>
  <si>
    <t>p16_firefly</t>
  </si>
  <si>
    <t>(0,728)</t>
  </si>
  <si>
    <t>p16_praying_mantis_1</t>
  </si>
  <si>
    <t>(1100, 728)</t>
  </si>
  <si>
    <t>p16_praying_mantis_2</t>
  </si>
  <si>
    <t>p16_praying_mantis_3</t>
  </si>
  <si>
    <t>p16_spider</t>
  </si>
  <si>
    <t>AI_report</t>
  </si>
  <si>
    <t>p16_weevil_1</t>
  </si>
  <si>
    <t>p16_weevil_2</t>
  </si>
  <si>
    <t>p17_ladybug</t>
  </si>
  <si>
    <t>p17</t>
  </si>
  <si>
    <t>(305,70)</t>
  </si>
  <si>
    <t>(950,70)</t>
  </si>
  <si>
    <t>(290,70)</t>
  </si>
  <si>
    <t>(750,70)</t>
  </si>
  <si>
    <t xml:space="preserve">the code part on the left side is actually 2 code windows </t>
  </si>
  <si>
    <t>(215,70)</t>
  </si>
  <si>
    <t>(1200,70)</t>
  </si>
  <si>
    <t>p17_stonefly</t>
  </si>
  <si>
    <t>(380,70)</t>
  </si>
  <si>
    <t>(0,730)</t>
  </si>
  <si>
    <t>p17_spider</t>
  </si>
  <si>
    <t>p17_praying_mantis</t>
  </si>
  <si>
    <t>p17_weevil</t>
  </si>
  <si>
    <t>p18_ladybug</t>
  </si>
  <si>
    <t>p18</t>
  </si>
  <si>
    <t>(312,70)</t>
  </si>
  <si>
    <t>(505,70)</t>
  </si>
  <si>
    <t>(0,790)</t>
  </si>
  <si>
    <t>p18_stonefly</t>
  </si>
  <si>
    <t>(0,720)</t>
  </si>
  <si>
    <t>(0,550)</t>
  </si>
  <si>
    <t>p18_silverfish</t>
  </si>
  <si>
    <t>(580,70)</t>
  </si>
  <si>
    <t>p18_spider</t>
  </si>
  <si>
    <t>(700,70)</t>
  </si>
  <si>
    <t>p19_ladybug_1</t>
  </si>
  <si>
    <t>p19</t>
  </si>
  <si>
    <t>(330,70)</t>
  </si>
  <si>
    <t>(0,800)</t>
  </si>
  <si>
    <t>p19_ladybug_2</t>
  </si>
  <si>
    <t>p19_stonefly</t>
  </si>
  <si>
    <t>p19_silverfish</t>
  </si>
  <si>
    <t>p19_spider</t>
  </si>
  <si>
    <t>p19_firefly</t>
  </si>
  <si>
    <t>p19_hornet</t>
  </si>
  <si>
    <t>p19_weevil</t>
  </si>
  <si>
    <t>p19_praying_mantis</t>
  </si>
  <si>
    <t>p20_ladybug_1</t>
  </si>
  <si>
    <t>p20</t>
  </si>
  <si>
    <t>(390,70)</t>
  </si>
  <si>
    <t>(0,840)</t>
  </si>
  <si>
    <t>p20_ladybug_2</t>
  </si>
  <si>
    <t>p20_ladybug_3</t>
  </si>
  <si>
    <t>(640,70)</t>
  </si>
  <si>
    <t>p20_ladybug_4</t>
  </si>
  <si>
    <t>p20_stonefly_1</t>
  </si>
  <si>
    <t>p20_stonefly_2</t>
  </si>
  <si>
    <t>p20_spider</t>
  </si>
  <si>
    <t>p21_stonefly_1</t>
  </si>
  <si>
    <t>p21</t>
  </si>
  <si>
    <t>p21_stonefly_2</t>
  </si>
  <si>
    <t>p21_hornet</t>
  </si>
  <si>
    <t>(350,70)</t>
  </si>
  <si>
    <t>p21_spider</t>
  </si>
  <si>
    <t>File Explorer</t>
  </si>
  <si>
    <t>itrace</t>
  </si>
  <si>
    <t>UNK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</si>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</sst>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3" fontId="0" fillId="0" borderId="0" xfId="0" applyNumberFormat="1"/>
    <xf numFmtId="20" fontId="0" fillId="0" borderId="0" xfId="0" applyNumberFormat="1"/>
    <xf numFmtId="0" fontId="0" fillId="33" borderId="0" xfId="0" applyFill="1"/>
    <xf numFmtId="3" fontId="0" fillId="33" borderId="0" xfId="0" applyNumberFormat="1" applyFill="1"/>
    <xf numFmtId="9" fontId="0" fillId="33" borderId="0" xfId="1" applyFont="1" applyFill="1"/>
    <xf numFmtId="10" fontId="0" fillId="33" borderId="0" xfId="1" applyNumberFormat="1" applyFont="1" applyFill="1"/>
    <xf numFmtId="9" fontId="0" fillId="0" borderId="0" xfId="1" applyFont="1"/>
    <xf numFmtId="0" fontId="0" fillId="0" borderId="0" xfId="0" applyNumberFormat="1"/>
    <xf numFmtId="0" fontId="0" fillId="33" borderId="0" xfId="1" applyNumberFormat="1" applyFont="1" applyFill="1"/>
    <xf numFmtId="0" fontId="0" fillId="33" borderId="0" xfId="0" applyNumberFormat="1" applyFill="1"/>
    <xf numFmtId="0" fontId="0" fillId="34" borderId="0" xfId="0" applyFill="1"/>
    <xf numFmtId="10" fontId="0" fillId="34" borderId="0" xfId="1" applyNumberFormat="1" applyFont="1" applyFill="1"/>
    <xf numFmtId="0" fontId="0" fillId="35" borderId="0" xfId="0" applyFill="1"/>
    <xf numFmtId="10" fontId="0" fillId="35" borderId="0" xfId="1" applyNumberFormat="1" applyFont="1" applyFill="1"/>
    <xf numFmtId="0" fontId="0" fillId="36" borderId="0" xfId="0" applyFill="1"/>
    <xf numFmtId="10" fontId="0" fillId="36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abSelected="1" workbookViewId="0">
      <pane ySplit="1" topLeftCell="A2" activePane="bottomLeft" state="frozen"/>
      <selection pane="bottomLeft" activeCell="O15" sqref="O15"/>
    </sheetView>
  </sheetViews>
  <sheetFormatPr defaultRowHeight="15" x14ac:dyDescent="0.25"/>
  <cols>
    <col min="3" max="6" width="9.140625" customWidth="1"/>
    <col min="7" max="7" width="21.7109375" customWidth="1"/>
    <col min="8" max="10" width="9.140625" customWidth="1"/>
    <col min="11" max="11" width="27.85546875" customWidth="1"/>
    <col min="12" max="14" width="9.140625" customWidth="1"/>
    <col min="15" max="15" width="22" customWidth="1"/>
    <col min="16" max="22" width="9.140625" customWidth="1"/>
    <col min="23" max="23" width="11.7109375" customWidth="1"/>
    <col min="24" max="24" width="9.7109375" customWidth="1"/>
    <col min="25" max="25" width="13.28515625" style="8" customWidth="1"/>
    <col min="26" max="26" width="9.140625" customWidth="1"/>
    <col min="27" max="27" width="9.7109375" style="15" customWidth="1"/>
    <col min="28" max="28" width="9.7109375" style="13" customWidth="1"/>
    <col min="29" max="29" width="9.7109375" customWidth="1"/>
    <col min="30" max="30" width="9.7109375" style="1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8" t="s">
        <v>24</v>
      </c>
      <c r="AA1" s="15" t="s">
        <v>270</v>
      </c>
      <c r="AB1" s="13" t="s">
        <v>28</v>
      </c>
      <c r="AC1" t="s">
        <v>271</v>
      </c>
      <c r="AD1" s="11" t="s">
        <v>53</v>
      </c>
      <c r="AE1" t="s">
        <v>273</v>
      </c>
    </row>
    <row r="2" spans="1:31" x14ac:dyDescent="0.25">
      <c r="A2" t="s">
        <v>25</v>
      </c>
      <c r="B2" t="s">
        <v>26</v>
      </c>
      <c r="C2" t="s">
        <v>27</v>
      </c>
      <c r="D2" t="s">
        <v>3</v>
      </c>
      <c r="E2" t="s">
        <v>4</v>
      </c>
      <c r="F2">
        <v>45608</v>
      </c>
      <c r="G2" t="s">
        <v>28</v>
      </c>
      <c r="H2" t="s">
        <v>29</v>
      </c>
      <c r="I2" s="1">
        <v>-1920750</v>
      </c>
      <c r="J2">
        <v>28634</v>
      </c>
      <c r="K2" t="s">
        <v>30</v>
      </c>
      <c r="L2" t="s">
        <v>31</v>
      </c>
      <c r="M2" s="1">
        <v>-4701080</v>
      </c>
      <c r="N2">
        <v>449</v>
      </c>
      <c r="O2" t="s">
        <v>32</v>
      </c>
      <c r="P2" s="1">
        <v>-470750</v>
      </c>
      <c r="Q2" s="1">
        <v>-19201080</v>
      </c>
      <c r="W2">
        <v>730</v>
      </c>
      <c r="X2">
        <v>3232</v>
      </c>
      <c r="Y2" s="8">
        <v>78653</v>
      </c>
      <c r="Z2" s="7">
        <f>X2/Y2</f>
        <v>4.1091884607071569E-2</v>
      </c>
    </row>
    <row r="3" spans="1:31" x14ac:dyDescent="0.25">
      <c r="A3" t="s">
        <v>33</v>
      </c>
      <c r="B3" t="s">
        <v>26</v>
      </c>
      <c r="C3" t="s">
        <v>27</v>
      </c>
      <c r="D3" t="s">
        <v>3</v>
      </c>
      <c r="E3" t="s">
        <v>4</v>
      </c>
      <c r="F3">
        <v>8977</v>
      </c>
      <c r="G3" t="s">
        <v>28</v>
      </c>
      <c r="H3" t="s">
        <v>29</v>
      </c>
      <c r="I3" s="1">
        <v>-1920750</v>
      </c>
      <c r="J3">
        <v>773</v>
      </c>
      <c r="K3" t="s">
        <v>30</v>
      </c>
      <c r="L3" t="s">
        <v>31</v>
      </c>
      <c r="M3" s="1">
        <v>-4701080</v>
      </c>
      <c r="N3">
        <v>889</v>
      </c>
      <c r="O3" t="s">
        <v>32</v>
      </c>
      <c r="P3" s="1">
        <v>-470750</v>
      </c>
      <c r="Q3" s="1">
        <v>-19201080</v>
      </c>
      <c r="V3" t="s">
        <v>34</v>
      </c>
      <c r="W3">
        <v>411</v>
      </c>
      <c r="X3">
        <v>2495</v>
      </c>
      <c r="Y3" s="8">
        <v>13545</v>
      </c>
      <c r="Z3" s="7">
        <f t="shared" ref="Z3:Z11" si="0">X3/Y3</f>
        <v>0.18420081210778885</v>
      </c>
    </row>
    <row r="4" spans="1:31" x14ac:dyDescent="0.25">
      <c r="A4" t="s">
        <v>35</v>
      </c>
      <c r="B4" t="s">
        <v>26</v>
      </c>
      <c r="C4" t="s">
        <v>27</v>
      </c>
      <c r="D4" t="s">
        <v>3</v>
      </c>
      <c r="E4" t="s">
        <v>4</v>
      </c>
      <c r="F4">
        <v>23884</v>
      </c>
      <c r="G4" t="s">
        <v>28</v>
      </c>
      <c r="H4" t="s">
        <v>29</v>
      </c>
      <c r="I4" s="1">
        <v>-1920750</v>
      </c>
      <c r="J4">
        <v>120</v>
      </c>
      <c r="K4" t="s">
        <v>30</v>
      </c>
      <c r="L4" t="s">
        <v>31</v>
      </c>
      <c r="M4" s="1">
        <v>-4701080</v>
      </c>
      <c r="N4">
        <v>548</v>
      </c>
      <c r="O4" t="s">
        <v>32</v>
      </c>
      <c r="P4" s="1">
        <v>-470750</v>
      </c>
      <c r="Q4" s="1">
        <v>-19201080</v>
      </c>
      <c r="V4" t="s">
        <v>34</v>
      </c>
      <c r="W4">
        <v>66</v>
      </c>
      <c r="X4">
        <v>2620</v>
      </c>
      <c r="Y4" s="8">
        <v>27238</v>
      </c>
      <c r="Z4" s="7">
        <f t="shared" si="0"/>
        <v>9.6189147514501805E-2</v>
      </c>
    </row>
    <row r="5" spans="1:31" x14ac:dyDescent="0.25">
      <c r="A5" t="s">
        <v>36</v>
      </c>
      <c r="B5" t="s">
        <v>26</v>
      </c>
      <c r="C5" t="s">
        <v>27</v>
      </c>
      <c r="D5" t="s">
        <v>3</v>
      </c>
      <c r="E5" t="s">
        <v>4</v>
      </c>
      <c r="F5">
        <v>986</v>
      </c>
      <c r="G5" t="s">
        <v>28</v>
      </c>
      <c r="H5" t="s">
        <v>29</v>
      </c>
      <c r="I5" s="1">
        <v>-1920750</v>
      </c>
      <c r="J5">
        <v>152</v>
      </c>
      <c r="K5" t="s">
        <v>30</v>
      </c>
      <c r="L5" t="s">
        <v>31</v>
      </c>
      <c r="M5" s="1">
        <v>-4701080</v>
      </c>
      <c r="N5">
        <v>183</v>
      </c>
      <c r="O5" t="s">
        <v>32</v>
      </c>
      <c r="P5" s="1">
        <v>-470750</v>
      </c>
      <c r="Q5" s="1">
        <v>-19201080</v>
      </c>
      <c r="V5" t="s">
        <v>34</v>
      </c>
      <c r="W5">
        <v>0</v>
      </c>
      <c r="X5">
        <v>70</v>
      </c>
      <c r="Y5" s="8">
        <v>1391</v>
      </c>
      <c r="Z5" s="7">
        <f t="shared" si="0"/>
        <v>5.0323508267433502E-2</v>
      </c>
    </row>
    <row r="6" spans="1:31" x14ac:dyDescent="0.25">
      <c r="A6" t="s">
        <v>37</v>
      </c>
      <c r="B6" t="s">
        <v>26</v>
      </c>
      <c r="C6" t="s">
        <v>38</v>
      </c>
      <c r="D6" t="s">
        <v>3</v>
      </c>
      <c r="E6" t="s">
        <v>4</v>
      </c>
      <c r="F6">
        <v>31971</v>
      </c>
      <c r="G6" t="s">
        <v>28</v>
      </c>
      <c r="H6" t="s">
        <v>29</v>
      </c>
      <c r="I6" s="1">
        <v>-1920750</v>
      </c>
      <c r="J6">
        <v>13547</v>
      </c>
      <c r="K6" t="s">
        <v>30</v>
      </c>
      <c r="L6" t="s">
        <v>31</v>
      </c>
      <c r="M6" s="1">
        <v>-4701080</v>
      </c>
      <c r="N6">
        <v>268</v>
      </c>
      <c r="O6" t="s">
        <v>32</v>
      </c>
      <c r="P6" s="1">
        <v>-470750</v>
      </c>
      <c r="Q6" s="1">
        <v>-19201080</v>
      </c>
      <c r="V6" t="s">
        <v>39</v>
      </c>
      <c r="W6">
        <v>244</v>
      </c>
      <c r="X6">
        <v>2886</v>
      </c>
      <c r="Y6" s="8">
        <v>48916</v>
      </c>
      <c r="Z6" s="7">
        <f t="shared" si="0"/>
        <v>5.8999100498814294E-2</v>
      </c>
    </row>
    <row r="7" spans="1:31" x14ac:dyDescent="0.25">
      <c r="A7" t="s">
        <v>40</v>
      </c>
      <c r="B7" t="s">
        <v>26</v>
      </c>
      <c r="C7" t="s">
        <v>38</v>
      </c>
      <c r="D7" t="s">
        <v>3</v>
      </c>
      <c r="E7" t="s">
        <v>4</v>
      </c>
      <c r="F7">
        <v>7846</v>
      </c>
      <c r="G7" t="s">
        <v>28</v>
      </c>
      <c r="H7" t="s">
        <v>29</v>
      </c>
      <c r="I7" s="1">
        <v>-1920750</v>
      </c>
      <c r="J7">
        <v>275</v>
      </c>
      <c r="K7" t="s">
        <v>30</v>
      </c>
      <c r="L7" t="s">
        <v>31</v>
      </c>
      <c r="M7" s="1">
        <v>-4701080</v>
      </c>
      <c r="N7">
        <v>213</v>
      </c>
      <c r="O7" t="s">
        <v>32</v>
      </c>
      <c r="P7" s="1">
        <v>-470750</v>
      </c>
      <c r="Q7" s="1">
        <v>-19201080</v>
      </c>
      <c r="V7" t="s">
        <v>39</v>
      </c>
      <c r="W7">
        <v>105</v>
      </c>
      <c r="X7">
        <v>1000</v>
      </c>
      <c r="Y7" s="8">
        <v>9439</v>
      </c>
      <c r="Z7" s="7">
        <f t="shared" si="0"/>
        <v>0.10594342621040365</v>
      </c>
    </row>
    <row r="8" spans="1:31" x14ac:dyDescent="0.25">
      <c r="A8" t="s">
        <v>41</v>
      </c>
      <c r="B8" t="s">
        <v>26</v>
      </c>
      <c r="C8" t="s">
        <v>42</v>
      </c>
      <c r="D8" t="s">
        <v>3</v>
      </c>
      <c r="E8" t="s">
        <v>4</v>
      </c>
      <c r="F8">
        <v>88877</v>
      </c>
      <c r="G8" t="s">
        <v>28</v>
      </c>
      <c r="H8" t="s">
        <v>29</v>
      </c>
      <c r="I8" s="1">
        <v>-1920780</v>
      </c>
      <c r="J8">
        <v>20343</v>
      </c>
      <c r="K8" t="s">
        <v>30</v>
      </c>
      <c r="L8" t="s">
        <v>31</v>
      </c>
      <c r="M8" s="1">
        <v>-4701080</v>
      </c>
      <c r="N8">
        <v>734</v>
      </c>
      <c r="O8" t="s">
        <v>32</v>
      </c>
      <c r="P8" s="1">
        <v>-470780</v>
      </c>
      <c r="Q8" s="1">
        <v>-19201080</v>
      </c>
      <c r="V8" t="s">
        <v>43</v>
      </c>
      <c r="W8">
        <v>367</v>
      </c>
      <c r="X8">
        <v>9077</v>
      </c>
      <c r="Y8" s="8">
        <v>119398</v>
      </c>
      <c r="Z8" s="7">
        <f t="shared" si="0"/>
        <v>7.6023048962294171E-2</v>
      </c>
    </row>
    <row r="9" spans="1:31" x14ac:dyDescent="0.25">
      <c r="A9" t="s">
        <v>44</v>
      </c>
      <c r="B9" t="s">
        <v>26</v>
      </c>
      <c r="C9" t="s">
        <v>45</v>
      </c>
      <c r="D9" t="s">
        <v>3</v>
      </c>
      <c r="E9" t="s">
        <v>4</v>
      </c>
      <c r="F9">
        <v>50932</v>
      </c>
      <c r="G9" t="s">
        <v>28</v>
      </c>
      <c r="H9" t="s">
        <v>29</v>
      </c>
      <c r="I9" s="1">
        <v>-1920770</v>
      </c>
      <c r="J9">
        <v>7969</v>
      </c>
      <c r="K9" t="s">
        <v>30</v>
      </c>
      <c r="L9" t="s">
        <v>31</v>
      </c>
      <c r="M9" s="1">
        <v>-4701080</v>
      </c>
      <c r="N9">
        <v>270</v>
      </c>
      <c r="O9" t="s">
        <v>32</v>
      </c>
      <c r="P9" s="1">
        <v>-470770</v>
      </c>
      <c r="Q9" s="1">
        <v>-19201080</v>
      </c>
      <c r="W9">
        <v>1755</v>
      </c>
      <c r="X9">
        <v>8002</v>
      </c>
      <c r="Y9" s="8">
        <v>68928</v>
      </c>
      <c r="Z9" s="7">
        <f t="shared" si="0"/>
        <v>0.11609215413184773</v>
      </c>
    </row>
    <row r="10" spans="1:31" x14ac:dyDescent="0.25">
      <c r="A10" t="s">
        <v>46</v>
      </c>
      <c r="B10" t="s">
        <v>26</v>
      </c>
      <c r="C10" t="s">
        <v>47</v>
      </c>
      <c r="D10" t="s">
        <v>3</v>
      </c>
      <c r="E10" t="s">
        <v>4</v>
      </c>
      <c r="F10">
        <v>121498</v>
      </c>
      <c r="G10" t="s">
        <v>28</v>
      </c>
      <c r="H10" t="s">
        <v>29</v>
      </c>
      <c r="I10" s="1">
        <v>-1920770</v>
      </c>
      <c r="J10">
        <v>5268</v>
      </c>
      <c r="K10" t="s">
        <v>30</v>
      </c>
      <c r="L10" t="s">
        <v>31</v>
      </c>
      <c r="M10" s="1">
        <v>-4701080</v>
      </c>
      <c r="N10">
        <v>696</v>
      </c>
      <c r="O10" t="s">
        <v>32</v>
      </c>
      <c r="P10" s="1">
        <v>-470770</v>
      </c>
      <c r="Q10" s="1">
        <v>-19201080</v>
      </c>
      <c r="W10">
        <v>3764</v>
      </c>
      <c r="X10">
        <v>14860</v>
      </c>
      <c r="Y10" s="8">
        <v>146086</v>
      </c>
      <c r="Z10" s="7">
        <f t="shared" si="0"/>
        <v>0.10172090412496748</v>
      </c>
    </row>
    <row r="11" spans="1:31" x14ac:dyDescent="0.25">
      <c r="A11" t="s">
        <v>48</v>
      </c>
      <c r="B11" t="s">
        <v>26</v>
      </c>
      <c r="C11" t="s">
        <v>49</v>
      </c>
      <c r="D11" t="s">
        <v>3</v>
      </c>
      <c r="E11" t="s">
        <v>4</v>
      </c>
      <c r="F11">
        <v>45777</v>
      </c>
      <c r="G11" t="s">
        <v>28</v>
      </c>
      <c r="H11" t="s">
        <v>29</v>
      </c>
      <c r="I11" s="1">
        <v>-1920770</v>
      </c>
      <c r="J11">
        <v>5214</v>
      </c>
      <c r="K11" t="s">
        <v>30</v>
      </c>
      <c r="L11" t="s">
        <v>31</v>
      </c>
      <c r="M11" s="1">
        <v>-4701080</v>
      </c>
      <c r="N11">
        <v>386</v>
      </c>
      <c r="O11" t="s">
        <v>32</v>
      </c>
      <c r="P11" s="1">
        <v>-470770</v>
      </c>
      <c r="Q11" s="1">
        <v>-19201080</v>
      </c>
      <c r="W11">
        <v>1618</v>
      </c>
      <c r="X11">
        <v>4904</v>
      </c>
      <c r="Y11" s="8">
        <v>57899</v>
      </c>
      <c r="Z11" s="7">
        <f t="shared" si="0"/>
        <v>8.4699217603067409E-2</v>
      </c>
      <c r="AA11" s="15">
        <f>SUM(J2:J11)</f>
        <v>82295</v>
      </c>
      <c r="AB11" s="13">
        <f>SUM(F2:F11)</f>
        <v>426356</v>
      </c>
      <c r="AC11">
        <f>SUM(N2:N11)</f>
        <v>4636</v>
      </c>
      <c r="AD11" s="11">
        <v>0</v>
      </c>
    </row>
    <row r="12" spans="1:31" s="6" customFormat="1" x14ac:dyDescent="0.25">
      <c r="W12" s="6">
        <f>SUM(W2:W11)/Y12</f>
        <v>1.5853212550284955E-2</v>
      </c>
      <c r="X12" s="6">
        <f>SUM(X2:X11)/Y12</f>
        <v>8.5995803973102039E-2</v>
      </c>
      <c r="Y12" s="9">
        <f t="shared" ref="Y12" si="1">SUM(Y2:Y11)</f>
        <v>571493</v>
      </c>
      <c r="AA12" s="16">
        <f>AA11/$Y$12</f>
        <v>0.14400001399842169</v>
      </c>
      <c r="AB12" s="14">
        <f t="shared" ref="AB12:AD12" si="2">AB11/$Y$12</f>
        <v>0.74603888411581598</v>
      </c>
      <c r="AC12" s="6">
        <f t="shared" si="2"/>
        <v>8.1120853623753916E-3</v>
      </c>
      <c r="AD12" s="12">
        <f t="shared" si="2"/>
        <v>0</v>
      </c>
      <c r="AE12" s="6">
        <f>SUM(W12:X12,AC12)</f>
        <v>0.10996110188576239</v>
      </c>
    </row>
    <row r="13" spans="1:31" x14ac:dyDescent="0.25">
      <c r="I13" s="1"/>
      <c r="M13" s="1"/>
      <c r="P13" s="1"/>
      <c r="Q13" s="1"/>
    </row>
    <row r="14" spans="1:31" x14ac:dyDescent="0.25">
      <c r="A14" t="s">
        <v>50</v>
      </c>
      <c r="B14" t="s">
        <v>51</v>
      </c>
      <c r="C14" t="s">
        <v>27</v>
      </c>
      <c r="D14" t="s">
        <v>3</v>
      </c>
      <c r="E14" t="s">
        <v>4</v>
      </c>
      <c r="F14">
        <v>149720</v>
      </c>
      <c r="G14" t="s">
        <v>28</v>
      </c>
      <c r="H14" t="s">
        <v>29</v>
      </c>
      <c r="I14" s="1">
        <v>-1920770</v>
      </c>
      <c r="J14">
        <v>8040</v>
      </c>
      <c r="K14" t="s">
        <v>30</v>
      </c>
      <c r="L14" t="s">
        <v>31</v>
      </c>
      <c r="M14" s="1">
        <v>-4701080</v>
      </c>
      <c r="N14">
        <v>2054</v>
      </c>
      <c r="O14" t="s">
        <v>32</v>
      </c>
      <c r="P14" s="1">
        <v>-470770</v>
      </c>
      <c r="Q14" s="1">
        <v>-19201080</v>
      </c>
      <c r="W14">
        <v>2335</v>
      </c>
      <c r="X14">
        <v>9310</v>
      </c>
      <c r="Y14" s="8">
        <v>171459</v>
      </c>
      <c r="Z14" s="7">
        <f>X14/Y14</f>
        <v>5.4298695314914935E-2</v>
      </c>
    </row>
    <row r="15" spans="1:31" x14ac:dyDescent="0.25">
      <c r="A15" t="s">
        <v>52</v>
      </c>
      <c r="B15" t="s">
        <v>51</v>
      </c>
      <c r="C15" t="s">
        <v>38</v>
      </c>
      <c r="D15" t="s">
        <v>3</v>
      </c>
      <c r="E15" s="2">
        <v>0.13958333333333334</v>
      </c>
      <c r="F15">
        <v>19363</v>
      </c>
      <c r="G15" t="s">
        <v>28</v>
      </c>
      <c r="H15" t="s">
        <v>29</v>
      </c>
      <c r="I15" s="1">
        <v>-1920770</v>
      </c>
      <c r="J15">
        <v>3765</v>
      </c>
      <c r="K15" t="s">
        <v>30</v>
      </c>
      <c r="L15" t="s">
        <v>31</v>
      </c>
      <c r="M15" s="1">
        <v>-4701080</v>
      </c>
      <c r="N15">
        <v>426</v>
      </c>
      <c r="O15" t="s">
        <v>32</v>
      </c>
      <c r="P15" s="1">
        <v>-470770</v>
      </c>
      <c r="Q15" s="1">
        <v>-19201080</v>
      </c>
      <c r="W15">
        <v>27</v>
      </c>
      <c r="X15">
        <v>541</v>
      </c>
      <c r="Y15" s="8">
        <v>24122</v>
      </c>
      <c r="Z15" s="7">
        <f t="shared" ref="Z15:Z18" si="3">X15/Y15</f>
        <v>2.2427659398059862E-2</v>
      </c>
    </row>
    <row r="16" spans="1:31" x14ac:dyDescent="0.25">
      <c r="A16" t="s">
        <v>52</v>
      </c>
      <c r="B16" t="s">
        <v>51</v>
      </c>
      <c r="C16" t="s">
        <v>38</v>
      </c>
      <c r="D16" s="2">
        <v>0.13958333333333334</v>
      </c>
      <c r="E16" s="2">
        <v>0.45763888888888887</v>
      </c>
      <c r="F16">
        <v>42599</v>
      </c>
      <c r="G16" t="s">
        <v>28</v>
      </c>
      <c r="H16" t="s">
        <v>29</v>
      </c>
      <c r="I16" s="1">
        <v>-1920710</v>
      </c>
      <c r="J16">
        <v>1702</v>
      </c>
      <c r="K16" t="s">
        <v>30</v>
      </c>
      <c r="L16" t="s">
        <v>31</v>
      </c>
      <c r="M16" s="1">
        <v>-4701080</v>
      </c>
      <c r="N16">
        <v>7859</v>
      </c>
      <c r="O16" t="s">
        <v>53</v>
      </c>
      <c r="P16" s="1">
        <v>-470710</v>
      </c>
      <c r="Q16" s="1">
        <v>-19201080</v>
      </c>
      <c r="V16" t="s">
        <v>54</v>
      </c>
      <c r="W16">
        <v>438</v>
      </c>
      <c r="X16">
        <v>2360</v>
      </c>
      <c r="Y16" s="8">
        <v>54958</v>
      </c>
      <c r="Z16" s="7">
        <f t="shared" si="3"/>
        <v>4.2941882892390551E-2</v>
      </c>
    </row>
    <row r="17" spans="1:31" x14ac:dyDescent="0.25">
      <c r="A17" t="s">
        <v>52</v>
      </c>
      <c r="B17" t="s">
        <v>51</v>
      </c>
      <c r="C17" t="s">
        <v>38</v>
      </c>
      <c r="D17" s="2">
        <v>0.45763888888888887</v>
      </c>
      <c r="E17" t="s">
        <v>4</v>
      </c>
      <c r="F17">
        <v>54479</v>
      </c>
      <c r="G17" t="s">
        <v>28</v>
      </c>
      <c r="H17" t="s">
        <v>29</v>
      </c>
      <c r="I17" s="1">
        <v>-1920654</v>
      </c>
      <c r="J17">
        <v>2176</v>
      </c>
      <c r="K17" t="s">
        <v>30</v>
      </c>
      <c r="L17" t="s">
        <v>31</v>
      </c>
      <c r="M17" s="1">
        <v>-4701080</v>
      </c>
      <c r="N17">
        <v>23640</v>
      </c>
      <c r="O17" t="s">
        <v>53</v>
      </c>
      <c r="P17" s="1">
        <v>-470654</v>
      </c>
      <c r="Q17" s="1">
        <v>-19201080</v>
      </c>
      <c r="V17" t="s">
        <v>55</v>
      </c>
      <c r="W17">
        <v>2110</v>
      </c>
      <c r="X17">
        <v>4969</v>
      </c>
      <c r="Y17" s="8">
        <v>87374</v>
      </c>
      <c r="Z17" s="7">
        <f t="shared" si="3"/>
        <v>5.6870464898024581E-2</v>
      </c>
    </row>
    <row r="18" spans="1:31" x14ac:dyDescent="0.25">
      <c r="A18" t="s">
        <v>56</v>
      </c>
      <c r="B18" t="s">
        <v>51</v>
      </c>
      <c r="C18" t="s">
        <v>42</v>
      </c>
      <c r="D18" t="s">
        <v>3</v>
      </c>
      <c r="E18" t="s">
        <v>4</v>
      </c>
      <c r="F18">
        <v>106040</v>
      </c>
      <c r="G18" t="s">
        <v>28</v>
      </c>
      <c r="H18" t="s">
        <v>29</v>
      </c>
      <c r="I18" s="1">
        <v>-1920665</v>
      </c>
      <c r="J18">
        <v>16243</v>
      </c>
      <c r="K18" t="s">
        <v>30</v>
      </c>
      <c r="L18" t="s">
        <v>31</v>
      </c>
      <c r="M18" s="1">
        <v>-4701080</v>
      </c>
      <c r="N18">
        <v>5880</v>
      </c>
      <c r="O18" t="s">
        <v>53</v>
      </c>
      <c r="P18" s="1">
        <v>-470665</v>
      </c>
      <c r="Q18" s="1">
        <v>-19201080</v>
      </c>
      <c r="V18" t="s">
        <v>57</v>
      </c>
      <c r="W18">
        <v>1936</v>
      </c>
      <c r="X18">
        <v>5851</v>
      </c>
      <c r="Y18" s="8">
        <v>135950</v>
      </c>
      <c r="Z18" s="7">
        <f t="shared" si="3"/>
        <v>4.3037881574108129E-2</v>
      </c>
      <c r="AA18" s="15">
        <f>SUM(J14:J18)</f>
        <v>31926</v>
      </c>
      <c r="AB18" s="13">
        <f>SUM(F14:F18)</f>
        <v>372201</v>
      </c>
      <c r="AC18">
        <f>SUM(N14:N15)</f>
        <v>2480</v>
      </c>
      <c r="AD18" s="11">
        <f>SUM(N16:N18)</f>
        <v>37379</v>
      </c>
    </row>
    <row r="19" spans="1:31" s="6" customFormat="1" x14ac:dyDescent="0.25">
      <c r="W19" s="6">
        <f>SUM(W14:W18)/Y19</f>
        <v>1.444721364613823E-2</v>
      </c>
      <c r="X19" s="6">
        <f>SUM(X14:X18)/Y19</f>
        <v>4.8602655197810339E-2</v>
      </c>
      <c r="Y19" s="9">
        <f>SUM(Y14:Y18)</f>
        <v>473863</v>
      </c>
      <c r="AA19" s="16">
        <f>AA18/$Y19</f>
        <v>6.7373903427783974E-2</v>
      </c>
      <c r="AB19" s="14">
        <f t="shared" ref="AB19:AD19" si="4">AB18/$Y19</f>
        <v>0.78546119870089037</v>
      </c>
      <c r="AC19" s="6">
        <f t="shared" si="4"/>
        <v>5.2335801697959115E-3</v>
      </c>
      <c r="AD19" s="12">
        <f t="shared" si="4"/>
        <v>7.8881448857581193E-2</v>
      </c>
      <c r="AE19" s="6">
        <f>SUM(W19:X19,AC19)</f>
        <v>6.8283449013744488E-2</v>
      </c>
    </row>
    <row r="20" spans="1:31" x14ac:dyDescent="0.25">
      <c r="I20" s="1"/>
      <c r="M20" s="1"/>
      <c r="P20" s="1"/>
      <c r="Q20" s="1"/>
    </row>
    <row r="21" spans="1:31" x14ac:dyDescent="0.25">
      <c r="A21" t="s">
        <v>58</v>
      </c>
      <c r="B21" t="s">
        <v>59</v>
      </c>
      <c r="C21" t="s">
        <v>42</v>
      </c>
      <c r="D21" t="s">
        <v>3</v>
      </c>
      <c r="E21" t="s">
        <v>4</v>
      </c>
      <c r="F21">
        <v>116742</v>
      </c>
      <c r="G21" t="s">
        <v>28</v>
      </c>
      <c r="H21" t="s">
        <v>60</v>
      </c>
      <c r="I21" s="1">
        <v>-19201080</v>
      </c>
      <c r="J21">
        <v>15407</v>
      </c>
      <c r="K21" t="s">
        <v>30</v>
      </c>
      <c r="L21" t="s">
        <v>31</v>
      </c>
      <c r="M21" s="1">
        <v>-2851080</v>
      </c>
      <c r="V21" t="s">
        <v>61</v>
      </c>
      <c r="W21">
        <v>1080</v>
      </c>
      <c r="X21">
        <v>45243</v>
      </c>
      <c r="Y21" s="8">
        <v>178472</v>
      </c>
      <c r="Z21" s="7">
        <f>X21/Y21</f>
        <v>0.25350194988569635</v>
      </c>
    </row>
    <row r="22" spans="1:31" x14ac:dyDescent="0.25">
      <c r="A22" t="s">
        <v>62</v>
      </c>
      <c r="B22" t="s">
        <v>59</v>
      </c>
      <c r="C22" t="s">
        <v>27</v>
      </c>
      <c r="D22" t="s">
        <v>3</v>
      </c>
      <c r="E22" t="s">
        <v>4</v>
      </c>
      <c r="F22">
        <v>36051</v>
      </c>
      <c r="G22" t="s">
        <v>28</v>
      </c>
      <c r="H22" t="s">
        <v>29</v>
      </c>
      <c r="I22" s="1">
        <v>-1920827</v>
      </c>
      <c r="J22">
        <v>21007</v>
      </c>
      <c r="K22" t="s">
        <v>30</v>
      </c>
      <c r="L22" t="s">
        <v>31</v>
      </c>
      <c r="M22" s="1">
        <v>-4701080</v>
      </c>
      <c r="N22">
        <v>890</v>
      </c>
      <c r="O22" t="s">
        <v>32</v>
      </c>
      <c r="P22" s="1">
        <v>-470827</v>
      </c>
      <c r="Q22" s="1">
        <v>-19201080</v>
      </c>
      <c r="W22">
        <v>311</v>
      </c>
      <c r="X22">
        <v>3516</v>
      </c>
      <c r="Y22" s="8">
        <v>61775</v>
      </c>
      <c r="Z22" s="7">
        <f t="shared" ref="Z22:Z25" si="5">X22/Y22</f>
        <v>5.6916228247673006E-2</v>
      </c>
    </row>
    <row r="23" spans="1:31" x14ac:dyDescent="0.25">
      <c r="A23" t="s">
        <v>63</v>
      </c>
      <c r="B23" t="s">
        <v>59</v>
      </c>
      <c r="C23" t="s">
        <v>47</v>
      </c>
      <c r="D23" t="s">
        <v>3</v>
      </c>
      <c r="E23" t="s">
        <v>4</v>
      </c>
      <c r="F23">
        <v>117294</v>
      </c>
      <c r="G23" t="s">
        <v>28</v>
      </c>
      <c r="H23" t="s">
        <v>60</v>
      </c>
      <c r="I23" s="1">
        <v>-19201080</v>
      </c>
      <c r="J23">
        <v>11595</v>
      </c>
      <c r="K23" t="s">
        <v>30</v>
      </c>
      <c r="L23" t="s">
        <v>31</v>
      </c>
      <c r="M23" s="1">
        <v>-2851080</v>
      </c>
      <c r="V23" t="s">
        <v>61</v>
      </c>
      <c r="W23">
        <v>559</v>
      </c>
      <c r="X23">
        <v>11955</v>
      </c>
      <c r="Y23" s="8">
        <v>141403</v>
      </c>
      <c r="Z23" s="7">
        <f t="shared" si="5"/>
        <v>8.4545589556091455E-2</v>
      </c>
    </row>
    <row r="24" spans="1:31" x14ac:dyDescent="0.25">
      <c r="A24" t="s">
        <v>64</v>
      </c>
      <c r="B24" t="s">
        <v>59</v>
      </c>
      <c r="C24" t="s">
        <v>45</v>
      </c>
      <c r="D24" t="s">
        <v>3</v>
      </c>
      <c r="E24" t="s">
        <v>4</v>
      </c>
      <c r="F24">
        <v>108699</v>
      </c>
      <c r="G24" t="s">
        <v>28</v>
      </c>
      <c r="H24" t="s">
        <v>60</v>
      </c>
      <c r="I24" s="1">
        <v>-19201080</v>
      </c>
      <c r="J24">
        <v>11165</v>
      </c>
      <c r="K24" t="s">
        <v>30</v>
      </c>
      <c r="L24" t="s">
        <v>31</v>
      </c>
      <c r="M24" s="1">
        <v>-2851080</v>
      </c>
      <c r="V24" t="s">
        <v>61</v>
      </c>
      <c r="W24">
        <v>1463</v>
      </c>
      <c r="X24">
        <v>19846</v>
      </c>
      <c r="Y24" s="8">
        <v>141173</v>
      </c>
      <c r="Z24" s="7">
        <f t="shared" si="5"/>
        <v>0.14057928924086049</v>
      </c>
    </row>
    <row r="25" spans="1:31" x14ac:dyDescent="0.25">
      <c r="A25" t="s">
        <v>65</v>
      </c>
      <c r="B25" t="s">
        <v>59</v>
      </c>
      <c r="C25" t="s">
        <v>38</v>
      </c>
      <c r="D25" t="s">
        <v>3</v>
      </c>
      <c r="E25" t="s">
        <v>4</v>
      </c>
      <c r="F25">
        <v>124491</v>
      </c>
      <c r="G25" t="s">
        <v>28</v>
      </c>
      <c r="H25" t="s">
        <v>60</v>
      </c>
      <c r="I25" s="1">
        <v>-19201080</v>
      </c>
      <c r="J25">
        <v>4652</v>
      </c>
      <c r="K25" t="s">
        <v>30</v>
      </c>
      <c r="L25" t="s">
        <v>31</v>
      </c>
      <c r="M25" s="1">
        <v>-2851080</v>
      </c>
      <c r="V25" t="s">
        <v>61</v>
      </c>
      <c r="W25">
        <v>372</v>
      </c>
      <c r="X25">
        <v>6161</v>
      </c>
      <c r="Y25" s="8">
        <v>135676</v>
      </c>
      <c r="Z25" s="7">
        <f t="shared" si="5"/>
        <v>4.5409652407205403E-2</v>
      </c>
      <c r="AA25" s="15">
        <f>SUM(J21:J25)</f>
        <v>63826</v>
      </c>
      <c r="AB25" s="13">
        <f>SUM(F21:F25)</f>
        <v>503277</v>
      </c>
      <c r="AC25">
        <f>SUM(N22)</f>
        <v>890</v>
      </c>
      <c r="AD25" s="11">
        <v>0</v>
      </c>
    </row>
    <row r="26" spans="1:31" s="6" customFormat="1" x14ac:dyDescent="0.25">
      <c r="W26" s="6">
        <f>SUM(W21:W25)/Y26</f>
        <v>5.7479206498415331E-3</v>
      </c>
      <c r="X26" s="6">
        <f>SUM(X21:X25)/Y26</f>
        <v>0.13169496081239304</v>
      </c>
      <c r="Y26" s="9">
        <f t="shared" ref="Y26" si="6">SUM(Y21:Y25)</f>
        <v>658499</v>
      </c>
      <c r="AA26" s="16">
        <f>AA25/$Y26</f>
        <v>9.6926494952915651E-2</v>
      </c>
      <c r="AB26" s="14">
        <f t="shared" ref="AB26:AD26" si="7">AB25/$Y26</f>
        <v>0.76427906496441145</v>
      </c>
      <c r="AC26" s="6">
        <f t="shared" si="7"/>
        <v>1.3515586204382998E-3</v>
      </c>
      <c r="AD26" s="12">
        <f t="shared" si="7"/>
        <v>0</v>
      </c>
      <c r="AE26" s="6">
        <f>SUM(W26:X26,AC26)</f>
        <v>0.13879444008267286</v>
      </c>
    </row>
    <row r="27" spans="1:31" x14ac:dyDescent="0.25">
      <c r="I27" s="1"/>
      <c r="M27" s="1"/>
    </row>
    <row r="28" spans="1:31" x14ac:dyDescent="0.25">
      <c r="A28" t="s">
        <v>66</v>
      </c>
      <c r="B28" t="s">
        <v>67</v>
      </c>
      <c r="C28" t="s">
        <v>68</v>
      </c>
      <c r="D28" t="s">
        <v>3</v>
      </c>
      <c r="E28" t="s">
        <v>4</v>
      </c>
      <c r="F28">
        <v>70878</v>
      </c>
      <c r="G28" t="s">
        <v>69</v>
      </c>
      <c r="H28" t="s">
        <v>70</v>
      </c>
      <c r="I28" s="1">
        <v>-1920730</v>
      </c>
      <c r="J28">
        <v>87362</v>
      </c>
      <c r="K28" t="s">
        <v>71</v>
      </c>
      <c r="L28" t="s">
        <v>31</v>
      </c>
      <c r="M28" s="1">
        <v>-7951080</v>
      </c>
      <c r="N28">
        <v>5852</v>
      </c>
      <c r="O28" t="s">
        <v>53</v>
      </c>
      <c r="P28" s="1">
        <v>-795730</v>
      </c>
      <c r="Q28" s="1">
        <v>-19201080</v>
      </c>
      <c r="V28" t="s">
        <v>72</v>
      </c>
      <c r="W28">
        <v>1625</v>
      </c>
      <c r="X28">
        <v>14383</v>
      </c>
      <c r="Y28" s="8">
        <v>180100</v>
      </c>
      <c r="Z28" s="7">
        <f>X28/Y28</f>
        <v>7.9861188228761801E-2</v>
      </c>
    </row>
    <row r="29" spans="1:31" x14ac:dyDescent="0.25">
      <c r="A29" t="s">
        <v>73</v>
      </c>
      <c r="B29" t="s">
        <v>67</v>
      </c>
      <c r="C29" t="s">
        <v>27</v>
      </c>
      <c r="D29" t="s">
        <v>3</v>
      </c>
      <c r="E29" s="2">
        <v>0.12361111111111112</v>
      </c>
      <c r="F29">
        <v>8544</v>
      </c>
      <c r="G29" t="s">
        <v>69</v>
      </c>
      <c r="H29" t="s">
        <v>74</v>
      </c>
      <c r="I29" s="1">
        <v>-1920740</v>
      </c>
      <c r="J29">
        <v>12161</v>
      </c>
      <c r="K29" t="s">
        <v>71</v>
      </c>
      <c r="L29" t="s">
        <v>31</v>
      </c>
      <c r="M29" s="1">
        <v>-4151080</v>
      </c>
      <c r="N29">
        <v>41</v>
      </c>
      <c r="O29" t="s">
        <v>53</v>
      </c>
      <c r="P29" s="1">
        <v>-415740</v>
      </c>
      <c r="Q29" s="1">
        <v>-19201080</v>
      </c>
      <c r="W29">
        <v>143</v>
      </c>
      <c r="X29">
        <v>472</v>
      </c>
      <c r="Y29" s="8">
        <v>21361</v>
      </c>
      <c r="Z29" s="7">
        <f t="shared" ref="Z29:Z34" si="8">X29/Y29</f>
        <v>2.2096343804129021E-2</v>
      </c>
    </row>
    <row r="30" spans="1:31" x14ac:dyDescent="0.25">
      <c r="A30" t="s">
        <v>73</v>
      </c>
      <c r="B30" t="s">
        <v>67</v>
      </c>
      <c r="C30" t="s">
        <v>27</v>
      </c>
      <c r="D30" s="2">
        <v>0.12361111111111112</v>
      </c>
      <c r="E30" s="2">
        <v>0.3215277777777778</v>
      </c>
      <c r="F30">
        <v>6938</v>
      </c>
      <c r="G30" t="s">
        <v>69</v>
      </c>
      <c r="H30" t="s">
        <v>75</v>
      </c>
      <c r="I30" s="1">
        <v>-1920745</v>
      </c>
      <c r="J30">
        <v>20214</v>
      </c>
      <c r="K30" t="s">
        <v>71</v>
      </c>
      <c r="L30" t="s">
        <v>31</v>
      </c>
      <c r="M30" s="1">
        <v>-7141080</v>
      </c>
      <c r="N30">
        <v>4865</v>
      </c>
      <c r="O30" t="s">
        <v>53</v>
      </c>
      <c r="P30" s="1">
        <v>-714745</v>
      </c>
      <c r="Q30" s="1">
        <v>-19201080</v>
      </c>
      <c r="V30" t="s">
        <v>72</v>
      </c>
      <c r="W30">
        <v>56</v>
      </c>
      <c r="X30">
        <v>2126</v>
      </c>
      <c r="Y30" s="8">
        <v>34199</v>
      </c>
      <c r="Z30" s="7">
        <f t="shared" si="8"/>
        <v>6.2165560396502818E-2</v>
      </c>
    </row>
    <row r="31" spans="1:31" x14ac:dyDescent="0.25">
      <c r="A31" t="s">
        <v>73</v>
      </c>
      <c r="B31" t="s">
        <v>67</v>
      </c>
      <c r="C31" t="s">
        <v>27</v>
      </c>
      <c r="D31" s="2">
        <v>0.3215277777777778</v>
      </c>
      <c r="E31" t="s">
        <v>4</v>
      </c>
      <c r="F31">
        <v>44415</v>
      </c>
      <c r="G31" t="s">
        <v>69</v>
      </c>
      <c r="H31" t="s">
        <v>75</v>
      </c>
      <c r="I31" s="1">
        <v>-1920587</v>
      </c>
      <c r="J31">
        <v>29551</v>
      </c>
      <c r="K31" t="s">
        <v>71</v>
      </c>
      <c r="L31" t="s">
        <v>31</v>
      </c>
      <c r="M31" s="1">
        <v>-7141080</v>
      </c>
      <c r="N31">
        <v>9240</v>
      </c>
      <c r="O31" t="s">
        <v>53</v>
      </c>
      <c r="P31" s="1">
        <v>-714587</v>
      </c>
      <c r="Q31" s="1">
        <v>-19201080</v>
      </c>
      <c r="V31" t="s">
        <v>76</v>
      </c>
      <c r="W31">
        <v>365</v>
      </c>
      <c r="X31">
        <v>11068</v>
      </c>
      <c r="Y31" s="8">
        <v>94639</v>
      </c>
      <c r="Z31" s="7">
        <f t="shared" si="8"/>
        <v>0.11694967191115713</v>
      </c>
    </row>
    <row r="32" spans="1:31" x14ac:dyDescent="0.25">
      <c r="A32" t="s">
        <v>77</v>
      </c>
      <c r="B32" t="s">
        <v>67</v>
      </c>
      <c r="C32" t="s">
        <v>47</v>
      </c>
      <c r="D32" t="s">
        <v>3</v>
      </c>
      <c r="E32" t="s">
        <v>4</v>
      </c>
      <c r="F32">
        <v>56060</v>
      </c>
      <c r="G32" t="s">
        <v>69</v>
      </c>
      <c r="H32" t="s">
        <v>78</v>
      </c>
      <c r="I32" s="1">
        <v>-1920730</v>
      </c>
      <c r="J32">
        <v>90319</v>
      </c>
      <c r="K32" t="s">
        <v>71</v>
      </c>
      <c r="L32" t="s">
        <v>31</v>
      </c>
      <c r="M32" s="1">
        <v>-9241080</v>
      </c>
      <c r="N32">
        <v>7112</v>
      </c>
      <c r="O32" t="s">
        <v>32</v>
      </c>
      <c r="P32" s="1">
        <v>-924730</v>
      </c>
      <c r="Q32" s="1">
        <v>-19201080</v>
      </c>
      <c r="V32" t="s">
        <v>72</v>
      </c>
      <c r="W32">
        <v>746</v>
      </c>
      <c r="X32">
        <v>11273</v>
      </c>
      <c r="Y32" s="8">
        <v>165510</v>
      </c>
      <c r="Z32" s="7">
        <f t="shared" si="8"/>
        <v>6.8110688175941028E-2</v>
      </c>
    </row>
    <row r="33" spans="1:31" x14ac:dyDescent="0.25">
      <c r="A33" t="s">
        <v>79</v>
      </c>
      <c r="B33" t="s">
        <v>67</v>
      </c>
      <c r="C33" t="s">
        <v>38</v>
      </c>
      <c r="D33" t="s">
        <v>3</v>
      </c>
      <c r="E33" t="s">
        <v>4</v>
      </c>
      <c r="F33">
        <v>58002</v>
      </c>
      <c r="G33" t="s">
        <v>69</v>
      </c>
      <c r="H33" t="s">
        <v>80</v>
      </c>
      <c r="I33" s="1">
        <v>-1920750</v>
      </c>
      <c r="J33">
        <v>92791</v>
      </c>
      <c r="K33" t="s">
        <v>71</v>
      </c>
      <c r="L33" t="s">
        <v>31</v>
      </c>
      <c r="M33" s="1">
        <v>-7981080</v>
      </c>
      <c r="N33">
        <v>11098</v>
      </c>
      <c r="O33" t="s">
        <v>53</v>
      </c>
      <c r="P33" s="1">
        <v>-798750</v>
      </c>
      <c r="Q33" s="1">
        <v>-19201080</v>
      </c>
      <c r="V33" t="s">
        <v>72</v>
      </c>
      <c r="W33">
        <v>652</v>
      </c>
      <c r="X33">
        <v>13660</v>
      </c>
      <c r="Y33" s="8">
        <v>176203</v>
      </c>
      <c r="Z33" s="7">
        <f t="shared" si="8"/>
        <v>7.7524219224417296E-2</v>
      </c>
    </row>
    <row r="34" spans="1:31" x14ac:dyDescent="0.25">
      <c r="A34" t="s">
        <v>81</v>
      </c>
      <c r="B34" t="s">
        <v>67</v>
      </c>
      <c r="C34" t="s">
        <v>82</v>
      </c>
      <c r="D34" t="s">
        <v>3</v>
      </c>
      <c r="E34" t="s">
        <v>4</v>
      </c>
      <c r="F34">
        <v>24528</v>
      </c>
      <c r="G34" t="s">
        <v>69</v>
      </c>
      <c r="H34" t="s">
        <v>78</v>
      </c>
      <c r="I34" s="1">
        <v>-1920720</v>
      </c>
      <c r="J34">
        <v>55298</v>
      </c>
      <c r="K34" t="s">
        <v>71</v>
      </c>
      <c r="L34" t="s">
        <v>31</v>
      </c>
      <c r="M34" s="1">
        <v>-9241080</v>
      </c>
      <c r="N34">
        <v>1089</v>
      </c>
      <c r="O34" t="s">
        <v>32</v>
      </c>
      <c r="P34" s="1">
        <v>-924720</v>
      </c>
      <c r="Q34" s="1">
        <v>-19201080</v>
      </c>
      <c r="W34">
        <v>614</v>
      </c>
      <c r="X34">
        <v>7549</v>
      </c>
      <c r="Y34" s="8">
        <v>89078</v>
      </c>
      <c r="Z34" s="7">
        <f t="shared" si="8"/>
        <v>8.4745952985024367E-2</v>
      </c>
      <c r="AC34">
        <f>SUM(N32,N34)</f>
        <v>8201</v>
      </c>
      <c r="AD34" s="11">
        <f>SUM(N28:N31,N33)</f>
        <v>31096</v>
      </c>
    </row>
    <row r="35" spans="1:31" s="6" customFormat="1" x14ac:dyDescent="0.25">
      <c r="W35" s="6">
        <f>SUM(W28:W34)/Y35</f>
        <v>5.5197151453835946E-3</v>
      </c>
      <c r="X35" s="6">
        <f>SUM(X28:X34)/Y35</f>
        <v>7.9531987018618036E-2</v>
      </c>
      <c r="Y35" s="9">
        <f t="shared" ref="Y35" si="9">SUM(Y28:Y34)</f>
        <v>761090</v>
      </c>
      <c r="AA35" s="16" t="s">
        <v>272</v>
      </c>
      <c r="AB35" s="14" t="s">
        <v>272</v>
      </c>
      <c r="AC35" s="6">
        <f>AC34/Y35</f>
        <v>1.0775335374265855E-2</v>
      </c>
      <c r="AD35" s="12">
        <f>AD34/Y35</f>
        <v>4.0857191659330695E-2</v>
      </c>
      <c r="AE35" s="6">
        <f>SUM(W35:X35,AC35)</f>
        <v>9.5827037538267476E-2</v>
      </c>
    </row>
    <row r="36" spans="1:31" x14ac:dyDescent="0.25">
      <c r="I36" s="1"/>
      <c r="M36" s="1"/>
      <c r="P36" s="1"/>
      <c r="Q36" s="1"/>
    </row>
    <row r="37" spans="1:31" x14ac:dyDescent="0.25">
      <c r="A37" t="s">
        <v>83</v>
      </c>
      <c r="B37" t="s">
        <v>84</v>
      </c>
      <c r="C37" t="s">
        <v>68</v>
      </c>
      <c r="D37" t="s">
        <v>3</v>
      </c>
      <c r="E37" t="s">
        <v>4</v>
      </c>
      <c r="F37">
        <v>14562</v>
      </c>
      <c r="G37" t="s">
        <v>30</v>
      </c>
      <c r="H37" t="s">
        <v>31</v>
      </c>
      <c r="I37" s="1">
        <v>-4681080</v>
      </c>
      <c r="J37">
        <v>67174</v>
      </c>
      <c r="K37" t="s">
        <v>69</v>
      </c>
      <c r="L37" t="s">
        <v>85</v>
      </c>
      <c r="M37" s="1">
        <v>-1180724</v>
      </c>
      <c r="N37">
        <v>35778</v>
      </c>
      <c r="O37" t="s">
        <v>86</v>
      </c>
      <c r="P37" t="s">
        <v>87</v>
      </c>
      <c r="Q37" s="1">
        <v>-1920724</v>
      </c>
      <c r="R37">
        <v>21821</v>
      </c>
      <c r="S37" t="s">
        <v>53</v>
      </c>
      <c r="T37" s="1">
        <v>-468724</v>
      </c>
      <c r="U37" s="1">
        <v>-19201080</v>
      </c>
      <c r="V37" t="s">
        <v>88</v>
      </c>
      <c r="W37">
        <v>1527</v>
      </c>
      <c r="X37">
        <v>8806</v>
      </c>
      <c r="Y37" s="8">
        <v>149668</v>
      </c>
      <c r="Z37" s="7">
        <f>X37/Y37</f>
        <v>5.8836892321671969E-2</v>
      </c>
    </row>
    <row r="38" spans="1:31" x14ac:dyDescent="0.25">
      <c r="A38" t="s">
        <v>89</v>
      </c>
      <c r="B38" t="s">
        <v>84</v>
      </c>
      <c r="C38" t="s">
        <v>27</v>
      </c>
      <c r="D38" t="s">
        <v>3</v>
      </c>
      <c r="E38" s="2">
        <v>0.16666666666666666</v>
      </c>
      <c r="F38">
        <v>5980</v>
      </c>
      <c r="G38" t="s">
        <v>30</v>
      </c>
      <c r="H38" t="s">
        <v>31</v>
      </c>
      <c r="I38" s="1">
        <v>-3751080</v>
      </c>
      <c r="J38">
        <v>15044</v>
      </c>
      <c r="K38" t="s">
        <v>69</v>
      </c>
      <c r="L38" t="s">
        <v>90</v>
      </c>
      <c r="M38" s="1">
        <v>-995720</v>
      </c>
      <c r="N38">
        <v>6605</v>
      </c>
      <c r="O38" t="s">
        <v>86</v>
      </c>
      <c r="P38" t="s">
        <v>91</v>
      </c>
      <c r="Q38" s="1">
        <v>-1920720</v>
      </c>
      <c r="R38">
        <v>178</v>
      </c>
      <c r="S38" t="s">
        <v>53</v>
      </c>
      <c r="T38" s="1">
        <v>-375720</v>
      </c>
      <c r="U38" s="1">
        <v>-19201080</v>
      </c>
      <c r="V38" t="s">
        <v>92</v>
      </c>
      <c r="W38">
        <v>14</v>
      </c>
      <c r="X38">
        <v>981</v>
      </c>
      <c r="Y38" s="8">
        <v>28802</v>
      </c>
      <c r="Z38" s="7">
        <f t="shared" ref="Z38:Z41" si="10">X38/Y38</f>
        <v>3.406013471286716E-2</v>
      </c>
    </row>
    <row r="39" spans="1:31" x14ac:dyDescent="0.25">
      <c r="A39" t="s">
        <v>89</v>
      </c>
      <c r="B39" t="s">
        <v>84</v>
      </c>
      <c r="C39" t="s">
        <v>27</v>
      </c>
      <c r="D39" s="2">
        <v>0.16666666666666666</v>
      </c>
      <c r="E39" t="s">
        <v>4</v>
      </c>
      <c r="F39">
        <v>35163</v>
      </c>
      <c r="G39" t="s">
        <v>30</v>
      </c>
      <c r="H39" t="s">
        <v>31</v>
      </c>
      <c r="I39" s="1">
        <v>-6271080</v>
      </c>
      <c r="J39">
        <v>42638</v>
      </c>
      <c r="K39" t="s">
        <v>69</v>
      </c>
      <c r="L39" t="s">
        <v>93</v>
      </c>
      <c r="M39" s="1">
        <v>-1145726</v>
      </c>
      <c r="N39">
        <v>52494</v>
      </c>
      <c r="O39" t="s">
        <v>86</v>
      </c>
      <c r="P39" t="s">
        <v>94</v>
      </c>
      <c r="Q39" s="1">
        <v>-1920726</v>
      </c>
      <c r="R39">
        <v>14533</v>
      </c>
      <c r="S39" t="s">
        <v>53</v>
      </c>
      <c r="T39" s="1">
        <v>-627726</v>
      </c>
      <c r="U39" s="1">
        <v>-19201080</v>
      </c>
      <c r="V39" t="s">
        <v>95</v>
      </c>
      <c r="W39">
        <v>457</v>
      </c>
      <c r="X39">
        <v>12393</v>
      </c>
      <c r="Y39" s="8">
        <v>157678</v>
      </c>
      <c r="Z39" s="7">
        <f t="shared" si="10"/>
        <v>7.8596887327337994E-2</v>
      </c>
    </row>
    <row r="40" spans="1:31" x14ac:dyDescent="0.25">
      <c r="A40" t="s">
        <v>96</v>
      </c>
      <c r="B40" t="s">
        <v>84</v>
      </c>
      <c r="C40" t="s">
        <v>38</v>
      </c>
      <c r="D40" t="s">
        <v>3</v>
      </c>
      <c r="E40" t="s">
        <v>4</v>
      </c>
      <c r="F40">
        <v>9530</v>
      </c>
      <c r="G40" t="s">
        <v>30</v>
      </c>
      <c r="H40" t="s">
        <v>31</v>
      </c>
      <c r="I40" s="1">
        <v>-4681080</v>
      </c>
      <c r="J40">
        <v>69941</v>
      </c>
      <c r="K40" t="s">
        <v>69</v>
      </c>
      <c r="L40" t="s">
        <v>85</v>
      </c>
      <c r="M40" s="1">
        <v>-1095725</v>
      </c>
      <c r="N40">
        <v>139294</v>
      </c>
      <c r="O40" t="s">
        <v>86</v>
      </c>
      <c r="P40" t="s">
        <v>97</v>
      </c>
      <c r="Q40" s="1">
        <v>-1920725</v>
      </c>
      <c r="R40">
        <v>11770</v>
      </c>
      <c r="S40" t="s">
        <v>53</v>
      </c>
      <c r="T40" s="1">
        <v>-468725</v>
      </c>
      <c r="U40" s="1">
        <v>-19201080</v>
      </c>
      <c r="W40">
        <v>2595</v>
      </c>
      <c r="X40">
        <v>17576</v>
      </c>
      <c r="Y40" s="8">
        <v>250706</v>
      </c>
      <c r="Z40" s="7">
        <f t="shared" si="10"/>
        <v>7.010602059783172E-2</v>
      </c>
    </row>
    <row r="41" spans="1:31" x14ac:dyDescent="0.25">
      <c r="A41" t="s">
        <v>98</v>
      </c>
      <c r="B41" t="s">
        <v>84</v>
      </c>
      <c r="C41" t="s">
        <v>82</v>
      </c>
      <c r="D41" t="s">
        <v>3</v>
      </c>
      <c r="E41" t="s">
        <v>4</v>
      </c>
      <c r="F41">
        <v>6790</v>
      </c>
      <c r="G41" t="s">
        <v>30</v>
      </c>
      <c r="H41" t="s">
        <v>31</v>
      </c>
      <c r="I41" s="1">
        <v>-3261080</v>
      </c>
      <c r="J41">
        <v>48297</v>
      </c>
      <c r="K41" t="s">
        <v>28</v>
      </c>
      <c r="L41" t="s">
        <v>99</v>
      </c>
      <c r="M41" s="1">
        <v>-1018725</v>
      </c>
      <c r="N41">
        <v>7604</v>
      </c>
      <c r="O41" t="s">
        <v>28</v>
      </c>
      <c r="P41" t="s">
        <v>100</v>
      </c>
      <c r="Q41" s="1">
        <v>-1920725</v>
      </c>
      <c r="R41">
        <v>830</v>
      </c>
      <c r="S41" t="s">
        <v>53</v>
      </c>
      <c r="T41" s="1">
        <v>-326725</v>
      </c>
      <c r="U41" s="1">
        <v>-19201080</v>
      </c>
      <c r="W41">
        <v>1938</v>
      </c>
      <c r="X41">
        <v>6324</v>
      </c>
      <c r="Y41" s="8">
        <v>71783</v>
      </c>
      <c r="Z41" s="7">
        <f t="shared" si="10"/>
        <v>8.8098853488987647E-2</v>
      </c>
      <c r="AA41" s="15">
        <f>SUM(F37:F41)</f>
        <v>72025</v>
      </c>
      <c r="AB41" s="13">
        <f>SUM(J37:J41,N37:N41)</f>
        <v>484869</v>
      </c>
      <c r="AC41">
        <v>0</v>
      </c>
      <c r="AD41" s="11">
        <f>SUM(R37:R41)</f>
        <v>49132</v>
      </c>
    </row>
    <row r="42" spans="1:31" s="6" customFormat="1" x14ac:dyDescent="0.25">
      <c r="W42" s="6">
        <f>SUM(W37:W41)/Y42</f>
        <v>9.9159324483744458E-3</v>
      </c>
      <c r="X42" s="6">
        <f>SUM(X37:X41)/Y42</f>
        <v>6.9962665322476567E-2</v>
      </c>
      <c r="Y42" s="9">
        <f t="shared" ref="Y42" si="11">SUM(Y37:Y41)</f>
        <v>658637</v>
      </c>
      <c r="AA42" s="16">
        <f>AA41/$Y42</f>
        <v>0.10935462174156629</v>
      </c>
      <c r="AB42" s="14">
        <f t="shared" ref="AB42:AD42" si="12">AB41/$Y42</f>
        <v>0.73617030321709831</v>
      </c>
      <c r="AC42" s="6">
        <f t="shared" si="12"/>
        <v>0</v>
      </c>
      <c r="AD42" s="12">
        <f t="shared" si="12"/>
        <v>7.4596477270484352E-2</v>
      </c>
      <c r="AE42" s="6">
        <f>SUM(W42:X42,AC42)</f>
        <v>7.9878597770851018E-2</v>
      </c>
    </row>
    <row r="43" spans="1:31" x14ac:dyDescent="0.25">
      <c r="I43" s="1"/>
      <c r="M43" s="1"/>
      <c r="Q43" s="1"/>
      <c r="T43" s="1"/>
      <c r="U43" s="1"/>
    </row>
    <row r="44" spans="1:31" x14ac:dyDescent="0.25">
      <c r="A44" t="s">
        <v>101</v>
      </c>
      <c r="B44" t="s">
        <v>102</v>
      </c>
      <c r="C44" t="s">
        <v>27</v>
      </c>
      <c r="D44" t="s">
        <v>3</v>
      </c>
      <c r="E44" t="s">
        <v>4</v>
      </c>
      <c r="F44">
        <v>14275</v>
      </c>
      <c r="G44" t="s">
        <v>30</v>
      </c>
      <c r="H44" t="s">
        <v>31</v>
      </c>
      <c r="I44" s="1">
        <v>-4901080</v>
      </c>
      <c r="J44">
        <v>102586</v>
      </c>
      <c r="K44" t="s">
        <v>28</v>
      </c>
      <c r="L44" t="s">
        <v>103</v>
      </c>
      <c r="M44" s="1">
        <v>-1920786</v>
      </c>
      <c r="N44">
        <v>1079</v>
      </c>
      <c r="O44" t="s">
        <v>53</v>
      </c>
      <c r="P44" s="1">
        <v>-490786</v>
      </c>
      <c r="Q44" s="1">
        <v>-19201080</v>
      </c>
      <c r="W44">
        <v>4389</v>
      </c>
      <c r="X44">
        <v>3711</v>
      </c>
      <c r="Y44" s="8">
        <v>126040</v>
      </c>
      <c r="Z44" s="7">
        <f>X44/Y44</f>
        <v>2.9443033957473819E-2</v>
      </c>
    </row>
    <row r="45" spans="1:31" x14ac:dyDescent="0.25">
      <c r="A45" t="s">
        <v>104</v>
      </c>
      <c r="B45" t="s">
        <v>102</v>
      </c>
      <c r="C45" t="s">
        <v>68</v>
      </c>
      <c r="D45" t="s">
        <v>3</v>
      </c>
      <c r="E45" t="s">
        <v>4</v>
      </c>
      <c r="F45">
        <v>36933</v>
      </c>
      <c r="G45" t="s">
        <v>30</v>
      </c>
      <c r="H45" t="s">
        <v>31</v>
      </c>
      <c r="I45" s="1">
        <v>-4901080</v>
      </c>
      <c r="J45">
        <v>122550</v>
      </c>
      <c r="K45" t="s">
        <v>28</v>
      </c>
      <c r="L45" t="s">
        <v>103</v>
      </c>
      <c r="M45" s="1">
        <v>-1920780</v>
      </c>
      <c r="N45">
        <v>1409</v>
      </c>
      <c r="O45" t="s">
        <v>32</v>
      </c>
      <c r="P45" s="1">
        <v>-490780</v>
      </c>
      <c r="Q45" s="1">
        <v>-19201080</v>
      </c>
      <c r="W45">
        <v>619</v>
      </c>
      <c r="X45">
        <v>2911</v>
      </c>
      <c r="Y45" s="8">
        <v>164422</v>
      </c>
      <c r="Z45" s="7">
        <f t="shared" ref="Z45:Z49" si="13">X45/Y45</f>
        <v>1.7704443444307938E-2</v>
      </c>
    </row>
    <row r="46" spans="1:31" x14ac:dyDescent="0.25">
      <c r="A46" t="s">
        <v>105</v>
      </c>
      <c r="B46" t="s">
        <v>102</v>
      </c>
      <c r="C46" t="s">
        <v>47</v>
      </c>
      <c r="D46" t="s">
        <v>3</v>
      </c>
      <c r="E46" t="s">
        <v>4</v>
      </c>
      <c r="F46">
        <v>6899</v>
      </c>
      <c r="G46" t="s">
        <v>30</v>
      </c>
      <c r="H46" t="s">
        <v>31</v>
      </c>
      <c r="I46" s="1">
        <v>-4901080</v>
      </c>
      <c r="J46">
        <v>56434</v>
      </c>
      <c r="K46" t="s">
        <v>28</v>
      </c>
      <c r="L46" t="s">
        <v>103</v>
      </c>
      <c r="M46" s="1">
        <v>-1920780</v>
      </c>
      <c r="N46">
        <v>435</v>
      </c>
      <c r="O46" t="s">
        <v>32</v>
      </c>
      <c r="P46" s="1">
        <v>-490780</v>
      </c>
      <c r="Q46" s="1">
        <v>-19201080</v>
      </c>
      <c r="W46">
        <v>147</v>
      </c>
      <c r="X46">
        <v>2602</v>
      </c>
      <c r="Y46" s="8">
        <v>66517</v>
      </c>
      <c r="Z46" s="7">
        <f t="shared" si="13"/>
        <v>3.9117819504788251E-2</v>
      </c>
    </row>
    <row r="47" spans="1:31" x14ac:dyDescent="0.25">
      <c r="A47" t="s">
        <v>106</v>
      </c>
      <c r="B47" t="s">
        <v>102</v>
      </c>
      <c r="C47" t="s">
        <v>49</v>
      </c>
      <c r="D47" t="s">
        <v>3</v>
      </c>
      <c r="E47" t="s">
        <v>4</v>
      </c>
      <c r="F47">
        <v>12915</v>
      </c>
      <c r="G47" t="s">
        <v>30</v>
      </c>
      <c r="H47" t="s">
        <v>31</v>
      </c>
      <c r="I47" s="1">
        <v>-4901080</v>
      </c>
      <c r="J47">
        <v>54026</v>
      </c>
      <c r="K47" t="s">
        <v>28</v>
      </c>
      <c r="L47" t="s">
        <v>103</v>
      </c>
      <c r="M47" s="1">
        <v>-1920780</v>
      </c>
      <c r="N47">
        <v>390</v>
      </c>
      <c r="O47" t="s">
        <v>32</v>
      </c>
      <c r="P47" s="1">
        <v>-490780</v>
      </c>
      <c r="Q47" s="1">
        <v>-19201080</v>
      </c>
      <c r="W47">
        <v>967</v>
      </c>
      <c r="X47">
        <v>2532</v>
      </c>
      <c r="Y47" s="8">
        <v>70830</v>
      </c>
      <c r="Z47" s="7">
        <f t="shared" si="13"/>
        <v>3.5747564591274886E-2</v>
      </c>
    </row>
    <row r="48" spans="1:31" x14ac:dyDescent="0.25">
      <c r="A48" t="s">
        <v>107</v>
      </c>
      <c r="B48" t="s">
        <v>102</v>
      </c>
      <c r="C48" t="s">
        <v>38</v>
      </c>
      <c r="D48" t="s">
        <v>3</v>
      </c>
      <c r="E48" t="s">
        <v>4</v>
      </c>
      <c r="F48">
        <v>16018</v>
      </c>
      <c r="G48" t="s">
        <v>30</v>
      </c>
      <c r="H48" t="s">
        <v>31</v>
      </c>
      <c r="I48" s="1">
        <v>-4901080</v>
      </c>
      <c r="J48">
        <v>72997</v>
      </c>
      <c r="K48" t="s">
        <v>28</v>
      </c>
      <c r="L48" t="s">
        <v>103</v>
      </c>
      <c r="M48" s="1">
        <v>-1920786</v>
      </c>
      <c r="N48">
        <v>509</v>
      </c>
      <c r="O48" t="s">
        <v>32</v>
      </c>
      <c r="P48" s="1">
        <v>-490786</v>
      </c>
      <c r="Q48" s="1">
        <v>-19201080</v>
      </c>
      <c r="W48">
        <v>2362</v>
      </c>
      <c r="X48">
        <v>2709</v>
      </c>
      <c r="Y48" s="8">
        <v>94595</v>
      </c>
      <c r="Z48" s="7">
        <f t="shared" si="13"/>
        <v>2.8637877266240286E-2</v>
      </c>
    </row>
    <row r="49" spans="1:31" x14ac:dyDescent="0.25">
      <c r="A49" t="s">
        <v>108</v>
      </c>
      <c r="B49" t="s">
        <v>102</v>
      </c>
      <c r="C49" t="s">
        <v>82</v>
      </c>
      <c r="D49" t="s">
        <v>3</v>
      </c>
      <c r="E49" t="s">
        <v>4</v>
      </c>
      <c r="F49">
        <v>4870</v>
      </c>
      <c r="G49" t="s">
        <v>30</v>
      </c>
      <c r="H49" t="s">
        <v>31</v>
      </c>
      <c r="I49" s="1">
        <v>-4901080</v>
      </c>
      <c r="J49">
        <v>53663</v>
      </c>
      <c r="K49" t="s">
        <v>28</v>
      </c>
      <c r="L49" t="s">
        <v>103</v>
      </c>
      <c r="M49" s="1">
        <v>-1920780</v>
      </c>
      <c r="N49">
        <v>561</v>
      </c>
      <c r="O49" t="s">
        <v>32</v>
      </c>
      <c r="P49" s="1">
        <v>-490780</v>
      </c>
      <c r="Q49" s="1">
        <v>-19201080</v>
      </c>
      <c r="W49">
        <v>947</v>
      </c>
      <c r="X49">
        <v>2757</v>
      </c>
      <c r="Y49" s="8">
        <v>62798</v>
      </c>
      <c r="Z49" s="7">
        <f t="shared" si="13"/>
        <v>4.3902672059619736E-2</v>
      </c>
      <c r="AA49" s="15">
        <f>SUM(F44:F49)</f>
        <v>91910</v>
      </c>
      <c r="AB49" s="13">
        <f>SUM(J44:J49)</f>
        <v>462256</v>
      </c>
      <c r="AC49">
        <f>SUM(N45:N49)</f>
        <v>3304</v>
      </c>
      <c r="AD49" s="11">
        <f>SUM(N44)</f>
        <v>1079</v>
      </c>
    </row>
    <row r="50" spans="1:31" s="6" customFormat="1" x14ac:dyDescent="0.25">
      <c r="W50" s="6">
        <f>SUM(W44:W49)/Y50</f>
        <v>1.611580274845267E-2</v>
      </c>
      <c r="X50" s="6">
        <f>SUM(X44:X49)/Y50</f>
        <v>2.9429154377462824E-2</v>
      </c>
      <c r="Y50" s="9">
        <f t="shared" ref="Y50" si="14">SUM(Y44:Y49)</f>
        <v>585202</v>
      </c>
      <c r="AA50" s="16">
        <f>AA49/$Y50</f>
        <v>0.15705687950485472</v>
      </c>
      <c r="AB50" s="14">
        <f t="shared" ref="AB50:AD50" si="15">AB49/$Y50</f>
        <v>0.78990844187135378</v>
      </c>
      <c r="AC50" s="6">
        <f t="shared" si="15"/>
        <v>5.6459137186817545E-3</v>
      </c>
      <c r="AD50" s="12">
        <f t="shared" si="15"/>
        <v>1.8438077791941927E-3</v>
      </c>
      <c r="AE50" s="6">
        <f>SUM(W50:X50,AC50)</f>
        <v>5.1190870844597253E-2</v>
      </c>
    </row>
    <row r="51" spans="1:31" x14ac:dyDescent="0.25">
      <c r="I51" s="1"/>
      <c r="M51" s="1"/>
      <c r="P51" s="1"/>
      <c r="Q51" s="1"/>
    </row>
    <row r="52" spans="1:31" x14ac:dyDescent="0.25">
      <c r="A52" t="s">
        <v>109</v>
      </c>
      <c r="B52" t="s">
        <v>110</v>
      </c>
      <c r="C52" t="s">
        <v>27</v>
      </c>
      <c r="D52" t="s">
        <v>3</v>
      </c>
      <c r="E52" t="s">
        <v>4</v>
      </c>
      <c r="F52">
        <v>5054</v>
      </c>
      <c r="G52" t="s">
        <v>30</v>
      </c>
      <c r="H52" t="s">
        <v>31</v>
      </c>
      <c r="I52" s="1">
        <v>-4901080</v>
      </c>
      <c r="J52">
        <v>38161</v>
      </c>
      <c r="K52" t="s">
        <v>28</v>
      </c>
      <c r="L52" t="s">
        <v>103</v>
      </c>
      <c r="M52" s="1">
        <v>-1920755</v>
      </c>
      <c r="N52">
        <v>309</v>
      </c>
      <c r="O52" t="s">
        <v>53</v>
      </c>
      <c r="P52" s="1">
        <v>-490755</v>
      </c>
      <c r="Q52" s="1">
        <v>-19201080</v>
      </c>
      <c r="W52">
        <v>120</v>
      </c>
      <c r="X52">
        <v>177510</v>
      </c>
      <c r="Y52" s="8">
        <v>221154</v>
      </c>
      <c r="Z52" s="7">
        <f>X52/Y52</f>
        <v>0.80265335467592713</v>
      </c>
    </row>
    <row r="53" spans="1:31" x14ac:dyDescent="0.25">
      <c r="A53" t="s">
        <v>111</v>
      </c>
      <c r="B53" t="s">
        <v>110</v>
      </c>
      <c r="C53" t="s">
        <v>47</v>
      </c>
      <c r="D53" t="s">
        <v>3</v>
      </c>
      <c r="E53" t="s">
        <v>4</v>
      </c>
      <c r="F53">
        <v>5634</v>
      </c>
      <c r="G53" t="s">
        <v>30</v>
      </c>
      <c r="H53" t="s">
        <v>31</v>
      </c>
      <c r="I53" s="1">
        <v>-4901080</v>
      </c>
      <c r="J53">
        <v>103578</v>
      </c>
      <c r="K53" t="s">
        <v>28</v>
      </c>
      <c r="L53" t="s">
        <v>103</v>
      </c>
      <c r="M53" s="1">
        <v>-1920755</v>
      </c>
      <c r="N53">
        <v>1630</v>
      </c>
      <c r="O53" t="s">
        <v>32</v>
      </c>
      <c r="P53" s="1">
        <v>-490755</v>
      </c>
      <c r="Q53" s="1">
        <v>-19201080</v>
      </c>
      <c r="W53">
        <v>554</v>
      </c>
      <c r="X53">
        <v>147436</v>
      </c>
      <c r="Y53" s="8">
        <v>258832</v>
      </c>
      <c r="Z53" s="7">
        <f t="shared" ref="Z53:Z54" si="16">X53/Y53</f>
        <v>0.56962044878531248</v>
      </c>
    </row>
    <row r="54" spans="1:31" x14ac:dyDescent="0.25">
      <c r="A54" t="s">
        <v>112</v>
      </c>
      <c r="B54" t="s">
        <v>110</v>
      </c>
      <c r="C54" t="s">
        <v>38</v>
      </c>
      <c r="D54" t="s">
        <v>3</v>
      </c>
      <c r="E54" t="s">
        <v>4</v>
      </c>
      <c r="F54">
        <v>6360</v>
      </c>
      <c r="G54" t="s">
        <v>30</v>
      </c>
      <c r="H54" t="s">
        <v>31</v>
      </c>
      <c r="I54" s="1">
        <v>-4901080</v>
      </c>
      <c r="J54">
        <v>124549</v>
      </c>
      <c r="K54" t="s">
        <v>28</v>
      </c>
      <c r="L54" t="s">
        <v>103</v>
      </c>
      <c r="M54" s="1">
        <v>-1920755</v>
      </c>
      <c r="N54">
        <v>1237</v>
      </c>
      <c r="O54" t="s">
        <v>32</v>
      </c>
      <c r="P54" s="1">
        <v>-490755</v>
      </c>
      <c r="Q54" s="1">
        <v>-19201080</v>
      </c>
      <c r="W54">
        <v>767</v>
      </c>
      <c r="X54">
        <v>54640</v>
      </c>
      <c r="Y54" s="8">
        <v>187553</v>
      </c>
      <c r="Z54" s="7">
        <f t="shared" si="16"/>
        <v>0.29133098377525285</v>
      </c>
      <c r="AA54" s="15">
        <f>SUM(F52:F54)</f>
        <v>17048</v>
      </c>
      <c r="AB54" s="13">
        <f>SUM(J52:J54)</f>
        <v>266288</v>
      </c>
      <c r="AC54">
        <f>SUM(N53:N54)</f>
        <v>2867</v>
      </c>
      <c r="AD54" s="11">
        <f>N52</f>
        <v>309</v>
      </c>
    </row>
    <row r="55" spans="1:31" s="6" customFormat="1" x14ac:dyDescent="0.25">
      <c r="W55" s="6">
        <f>SUM(W52:W54)/Y55</f>
        <v>2.158675373274071E-3</v>
      </c>
      <c r="X55" s="6">
        <f>SUM(X52:X54)/Y55</f>
        <v>0.56863494117946667</v>
      </c>
      <c r="Y55" s="9">
        <f t="shared" ref="X55:Y55" si="17">SUM(Y52:Y54)</f>
        <v>667539</v>
      </c>
      <c r="AA55" s="16">
        <f>AA54/$Y55</f>
        <v>2.5538582764452714E-2</v>
      </c>
      <c r="AB55" s="14">
        <f t="shared" ref="AB55:AD55" si="18">AB54/$Y55</f>
        <v>0.39891002623067717</v>
      </c>
      <c r="AC55" s="6">
        <f t="shared" si="18"/>
        <v>4.2948801493246092E-3</v>
      </c>
      <c r="AD55" s="12">
        <f t="shared" si="18"/>
        <v>4.6289430280477994E-4</v>
      </c>
      <c r="AE55" s="6">
        <f>SUM(W55:X55,AC55)</f>
        <v>0.5750884967020653</v>
      </c>
    </row>
    <row r="56" spans="1:31" x14ac:dyDescent="0.25">
      <c r="I56" s="1"/>
      <c r="M56" s="1"/>
      <c r="P56" s="1"/>
      <c r="Q56" s="1"/>
    </row>
    <row r="57" spans="1:31" x14ac:dyDescent="0.25">
      <c r="A57" t="s">
        <v>113</v>
      </c>
      <c r="B57" t="s">
        <v>114</v>
      </c>
      <c r="C57" t="s">
        <v>68</v>
      </c>
      <c r="D57" t="s">
        <v>3</v>
      </c>
      <c r="E57" t="s">
        <v>4</v>
      </c>
      <c r="F57">
        <v>9370</v>
      </c>
      <c r="G57" t="s">
        <v>30</v>
      </c>
      <c r="H57" t="s">
        <v>31</v>
      </c>
      <c r="I57" s="1">
        <v>-4901080</v>
      </c>
      <c r="J57">
        <v>193061</v>
      </c>
      <c r="K57" t="s">
        <v>28</v>
      </c>
      <c r="L57" t="s">
        <v>103</v>
      </c>
      <c r="M57" s="1">
        <v>-1920755</v>
      </c>
      <c r="N57">
        <v>471</v>
      </c>
      <c r="O57" t="s">
        <v>53</v>
      </c>
      <c r="P57" s="1">
        <v>-490755</v>
      </c>
      <c r="Q57" s="1">
        <v>-19201080</v>
      </c>
      <c r="W57">
        <v>4251</v>
      </c>
      <c r="X57">
        <v>12703</v>
      </c>
      <c r="Y57" s="8">
        <v>219856</v>
      </c>
      <c r="Z57" s="7">
        <f>X57/Y57</f>
        <v>5.7778727894621934E-2</v>
      </c>
    </row>
    <row r="58" spans="1:31" x14ac:dyDescent="0.25">
      <c r="A58" t="s">
        <v>115</v>
      </c>
      <c r="B58" t="s">
        <v>114</v>
      </c>
      <c r="C58" t="s">
        <v>42</v>
      </c>
      <c r="D58" t="s">
        <v>3</v>
      </c>
      <c r="E58" t="s">
        <v>4</v>
      </c>
      <c r="F58">
        <v>4454</v>
      </c>
      <c r="G58" t="s">
        <v>30</v>
      </c>
      <c r="H58" t="s">
        <v>31</v>
      </c>
      <c r="I58" s="1">
        <v>-4901080</v>
      </c>
      <c r="J58">
        <v>205060</v>
      </c>
      <c r="K58" t="s">
        <v>28</v>
      </c>
      <c r="L58" t="s">
        <v>103</v>
      </c>
      <c r="M58" s="1">
        <v>-1920760</v>
      </c>
      <c r="N58">
        <v>13670</v>
      </c>
      <c r="O58" t="s">
        <v>53</v>
      </c>
      <c r="P58" s="1">
        <v>-490760</v>
      </c>
      <c r="Q58" s="1">
        <v>-19201080</v>
      </c>
      <c r="W58">
        <v>604</v>
      </c>
      <c r="X58">
        <v>20479</v>
      </c>
      <c r="Y58" s="8">
        <v>244267</v>
      </c>
      <c r="Z58" s="7">
        <f t="shared" ref="Z58:Z60" si="19">X58/Y58</f>
        <v>8.3838586464811043E-2</v>
      </c>
    </row>
    <row r="59" spans="1:31" x14ac:dyDescent="0.25">
      <c r="A59" t="s">
        <v>116</v>
      </c>
      <c r="B59" t="s">
        <v>114</v>
      </c>
      <c r="C59" t="s">
        <v>27</v>
      </c>
      <c r="D59" t="s">
        <v>3</v>
      </c>
      <c r="E59" t="s">
        <v>4</v>
      </c>
      <c r="F59">
        <v>5818</v>
      </c>
      <c r="G59" t="s">
        <v>30</v>
      </c>
      <c r="H59" t="s">
        <v>31</v>
      </c>
      <c r="I59" s="1">
        <v>-4901080</v>
      </c>
      <c r="J59">
        <v>113201</v>
      </c>
      <c r="K59" t="s">
        <v>28</v>
      </c>
      <c r="L59" t="s">
        <v>103</v>
      </c>
      <c r="M59" s="1">
        <v>-1920755</v>
      </c>
      <c r="N59">
        <v>516</v>
      </c>
      <c r="O59" t="s">
        <v>53</v>
      </c>
      <c r="P59" s="1">
        <v>-490755</v>
      </c>
      <c r="Q59" s="1">
        <v>-19201080</v>
      </c>
      <c r="W59">
        <v>187</v>
      </c>
      <c r="X59">
        <v>8658</v>
      </c>
      <c r="Y59" s="8">
        <v>128380</v>
      </c>
      <c r="Z59" s="7">
        <f t="shared" si="19"/>
        <v>6.7440411279015428E-2</v>
      </c>
    </row>
    <row r="60" spans="1:31" x14ac:dyDescent="0.25">
      <c r="A60" t="s">
        <v>117</v>
      </c>
      <c r="B60" t="s">
        <v>114</v>
      </c>
      <c r="C60" t="s">
        <v>38</v>
      </c>
      <c r="D60" t="s">
        <v>3</v>
      </c>
      <c r="E60" t="s">
        <v>4</v>
      </c>
      <c r="F60">
        <v>7699</v>
      </c>
      <c r="G60" t="s">
        <v>30</v>
      </c>
      <c r="H60" t="s">
        <v>31</v>
      </c>
      <c r="I60" s="1">
        <v>-4901080</v>
      </c>
      <c r="J60">
        <v>157036</v>
      </c>
      <c r="K60" t="s">
        <v>28</v>
      </c>
      <c r="L60" t="s">
        <v>103</v>
      </c>
      <c r="M60" s="1">
        <v>-1920755</v>
      </c>
      <c r="N60">
        <v>9976</v>
      </c>
      <c r="O60" t="s">
        <v>32</v>
      </c>
      <c r="P60" s="1">
        <v>-490755</v>
      </c>
      <c r="Q60" s="1">
        <v>-19201080</v>
      </c>
      <c r="W60">
        <v>647</v>
      </c>
      <c r="X60">
        <v>25544</v>
      </c>
      <c r="Y60" s="8">
        <v>200902</v>
      </c>
      <c r="Z60" s="7">
        <f t="shared" si="19"/>
        <v>0.12714656897392759</v>
      </c>
      <c r="AA60" s="15">
        <f>SUM(F57:F60)</f>
        <v>27341</v>
      </c>
      <c r="AB60" s="13">
        <f>SUM(J57:J60)</f>
        <v>668358</v>
      </c>
      <c r="AC60">
        <f>SUM(N60)</f>
        <v>9976</v>
      </c>
      <c r="AD60" s="11">
        <f>SUM(N57:N59)</f>
        <v>14657</v>
      </c>
    </row>
    <row r="61" spans="1:31" s="6" customFormat="1" x14ac:dyDescent="0.25">
      <c r="W61" s="6">
        <f>SUM(W57:W60)/Y61</f>
        <v>7.1703606606966178E-3</v>
      </c>
      <c r="X61" s="6">
        <f>SUM(X57:X60)/Y61</f>
        <v>8.4930142865245362E-2</v>
      </c>
      <c r="Y61" s="9">
        <f t="shared" ref="X61:Y61" si="20">SUM(Y57:Y60)</f>
        <v>793405</v>
      </c>
      <c r="AA61" s="16">
        <f>AA60/$Y61</f>
        <v>3.446033236493342E-2</v>
      </c>
      <c r="AB61" s="14">
        <f t="shared" ref="AB61:AD61" si="21">AB60/$Y61</f>
        <v>0.84239196879273515</v>
      </c>
      <c r="AC61" s="6">
        <f t="shared" si="21"/>
        <v>1.2573654060662588E-2</v>
      </c>
      <c r="AD61" s="12">
        <f t="shared" si="21"/>
        <v>1.8473541255726898E-2</v>
      </c>
      <c r="AE61" s="6">
        <f>SUM(W61:X61,AC61)</f>
        <v>0.10467415758660457</v>
      </c>
    </row>
    <row r="62" spans="1:31" x14ac:dyDescent="0.25">
      <c r="I62" s="1"/>
      <c r="M62" s="1"/>
      <c r="P62" s="1"/>
      <c r="Q62" s="1"/>
    </row>
    <row r="63" spans="1:31" x14ac:dyDescent="0.25">
      <c r="A63" t="s">
        <v>118</v>
      </c>
      <c r="B63" t="s">
        <v>119</v>
      </c>
      <c r="C63" t="s">
        <v>42</v>
      </c>
      <c r="D63" t="s">
        <v>3</v>
      </c>
      <c r="E63" t="s">
        <v>4</v>
      </c>
      <c r="F63">
        <v>41738</v>
      </c>
      <c r="G63" t="s">
        <v>30</v>
      </c>
      <c r="H63" t="s">
        <v>31</v>
      </c>
      <c r="I63" s="1">
        <v>-4901080</v>
      </c>
      <c r="J63">
        <v>195042</v>
      </c>
      <c r="K63" t="s">
        <v>28</v>
      </c>
      <c r="L63" t="s">
        <v>103</v>
      </c>
      <c r="M63" s="1">
        <v>-1920755</v>
      </c>
      <c r="N63">
        <v>12370</v>
      </c>
      <c r="O63" t="s">
        <v>32</v>
      </c>
      <c r="P63" s="1">
        <v>-490755</v>
      </c>
      <c r="Q63" s="1">
        <v>-19201080</v>
      </c>
      <c r="W63">
        <v>584</v>
      </c>
      <c r="X63">
        <v>22385</v>
      </c>
      <c r="Y63" s="8">
        <v>272119</v>
      </c>
      <c r="Z63" s="7">
        <f>X63/Y63</f>
        <v>8.2261804578144124E-2</v>
      </c>
    </row>
    <row r="64" spans="1:31" x14ac:dyDescent="0.25">
      <c r="A64" t="s">
        <v>120</v>
      </c>
      <c r="B64" t="s">
        <v>119</v>
      </c>
      <c r="C64" t="s">
        <v>27</v>
      </c>
      <c r="D64" t="s">
        <v>3</v>
      </c>
      <c r="E64" t="s">
        <v>4</v>
      </c>
      <c r="F64">
        <v>22337</v>
      </c>
      <c r="G64" t="s">
        <v>30</v>
      </c>
      <c r="H64" t="s">
        <v>31</v>
      </c>
      <c r="I64" s="1">
        <v>-4901080</v>
      </c>
      <c r="J64">
        <v>134765</v>
      </c>
      <c r="K64" t="s">
        <v>28</v>
      </c>
      <c r="L64" t="s">
        <v>103</v>
      </c>
      <c r="M64" s="1">
        <v>-1920755</v>
      </c>
      <c r="N64">
        <v>14932</v>
      </c>
      <c r="O64" t="s">
        <v>53</v>
      </c>
      <c r="P64" s="1">
        <v>-490755</v>
      </c>
      <c r="Q64" s="1">
        <v>-19201080</v>
      </c>
      <c r="W64">
        <v>625</v>
      </c>
      <c r="X64">
        <v>18374</v>
      </c>
      <c r="Y64" s="8">
        <v>191033</v>
      </c>
      <c r="Z64" s="7">
        <f t="shared" ref="Z64:Z65" si="22">X64/Y64</f>
        <v>9.6182334989242696E-2</v>
      </c>
    </row>
    <row r="65" spans="1:31" x14ac:dyDescent="0.25">
      <c r="A65" t="s">
        <v>121</v>
      </c>
      <c r="B65" t="s">
        <v>119</v>
      </c>
      <c r="C65" t="s">
        <v>38</v>
      </c>
      <c r="D65" t="s">
        <v>3</v>
      </c>
      <c r="E65" t="s">
        <v>4</v>
      </c>
      <c r="F65">
        <v>10609</v>
      </c>
      <c r="G65" t="s">
        <v>30</v>
      </c>
      <c r="H65" t="s">
        <v>31</v>
      </c>
      <c r="I65" s="1">
        <v>-4901080</v>
      </c>
      <c r="J65">
        <v>215011</v>
      </c>
      <c r="K65" t="s">
        <v>28</v>
      </c>
      <c r="L65" t="s">
        <v>103</v>
      </c>
      <c r="M65" s="1">
        <v>-1920755</v>
      </c>
      <c r="N65">
        <v>1269</v>
      </c>
      <c r="O65" t="s">
        <v>32</v>
      </c>
      <c r="P65" s="1">
        <v>-490755</v>
      </c>
      <c r="Q65" s="1">
        <v>-19201080</v>
      </c>
      <c r="W65">
        <v>276</v>
      </c>
      <c r="X65">
        <v>23220</v>
      </c>
      <c r="Y65" s="8">
        <v>250385</v>
      </c>
      <c r="Z65" s="7">
        <f t="shared" si="22"/>
        <v>9.2737184735507322E-2</v>
      </c>
      <c r="AA65" s="15">
        <f>SUM(F63:F65)</f>
        <v>74684</v>
      </c>
      <c r="AB65" s="13">
        <f>SUM(J63:J65)</f>
        <v>544818</v>
      </c>
      <c r="AC65">
        <f>SUM(N63,N65)</f>
        <v>13639</v>
      </c>
      <c r="AD65" s="11">
        <f>N64</f>
        <v>14932</v>
      </c>
    </row>
    <row r="66" spans="1:31" s="6" customFormat="1" x14ac:dyDescent="0.25">
      <c r="W66" s="6">
        <f>SUM(W63:W65)/Y66</f>
        <v>2.0811814944424745E-3</v>
      </c>
      <c r="X66" s="6">
        <f>SUM(X63:X65)/Y66</f>
        <v>8.966458641948491E-2</v>
      </c>
      <c r="Y66" s="9">
        <f t="shared" ref="X66:Y66" si="23">SUM(Y63:Y65)</f>
        <v>713537</v>
      </c>
      <c r="AA66" s="16">
        <f>AA65/$Y66</f>
        <v>0.10466731227672847</v>
      </c>
      <c r="AB66" s="14">
        <f t="shared" ref="AB66:AD66" si="24">AB65/$Y66</f>
        <v>0.7635455484438789</v>
      </c>
      <c r="AC66" s="6">
        <f t="shared" si="24"/>
        <v>1.9114635961414755E-2</v>
      </c>
      <c r="AD66" s="12">
        <f t="shared" si="24"/>
        <v>2.0926735404050524E-2</v>
      </c>
      <c r="AE66" s="6">
        <f>SUM(W66:X66,AC66)</f>
        <v>0.11086040387534214</v>
      </c>
    </row>
    <row r="67" spans="1:31" x14ac:dyDescent="0.25">
      <c r="I67" s="1"/>
      <c r="M67" s="1"/>
      <c r="P67" s="1"/>
      <c r="Q67" s="1"/>
    </row>
    <row r="68" spans="1:31" x14ac:dyDescent="0.25">
      <c r="A68" t="s">
        <v>122</v>
      </c>
      <c r="B68" t="s">
        <v>123</v>
      </c>
      <c r="C68" t="s">
        <v>68</v>
      </c>
      <c r="D68" t="s">
        <v>3</v>
      </c>
      <c r="E68" t="s">
        <v>4</v>
      </c>
      <c r="F68">
        <v>18043</v>
      </c>
      <c r="G68" t="s">
        <v>30</v>
      </c>
      <c r="H68" t="s">
        <v>31</v>
      </c>
      <c r="I68" s="1">
        <v>-470715</v>
      </c>
      <c r="J68">
        <v>85605</v>
      </c>
      <c r="K68" t="s">
        <v>86</v>
      </c>
      <c r="L68" t="s">
        <v>29</v>
      </c>
      <c r="M68" s="1">
        <v>-1920525</v>
      </c>
      <c r="N68">
        <v>15168</v>
      </c>
      <c r="O68" t="s">
        <v>69</v>
      </c>
      <c r="P68" s="1">
        <v>-470525</v>
      </c>
      <c r="Q68" s="1">
        <v>-1920715</v>
      </c>
      <c r="R68">
        <v>4645</v>
      </c>
      <c r="S68" t="s">
        <v>32</v>
      </c>
      <c r="T68" t="s">
        <v>124</v>
      </c>
      <c r="U68" s="1">
        <v>-19201080</v>
      </c>
      <c r="W68">
        <v>7735</v>
      </c>
      <c r="X68">
        <v>23142</v>
      </c>
      <c r="Y68" s="8">
        <v>154338</v>
      </c>
      <c r="Z68" s="7">
        <f>X68/Y68</f>
        <v>0.14994363021420518</v>
      </c>
    </row>
    <row r="69" spans="1:31" x14ac:dyDescent="0.25">
      <c r="A69" t="s">
        <v>125</v>
      </c>
      <c r="B69" t="s">
        <v>123</v>
      </c>
      <c r="C69" t="s">
        <v>42</v>
      </c>
      <c r="D69" t="s">
        <v>3</v>
      </c>
      <c r="E69" s="2">
        <v>0.16666666666666666</v>
      </c>
      <c r="F69">
        <v>4080</v>
      </c>
      <c r="G69" t="s">
        <v>30</v>
      </c>
      <c r="H69" t="s">
        <v>31</v>
      </c>
      <c r="I69" s="1">
        <v>-470750</v>
      </c>
      <c r="J69">
        <v>21297</v>
      </c>
      <c r="K69" t="s">
        <v>28</v>
      </c>
      <c r="L69" t="s">
        <v>29</v>
      </c>
      <c r="M69" s="1">
        <v>-1920750</v>
      </c>
      <c r="N69">
        <v>360</v>
      </c>
      <c r="O69" t="s">
        <v>53</v>
      </c>
      <c r="P69" s="1">
        <v>-470750</v>
      </c>
      <c r="Q69" s="1">
        <v>-19201080</v>
      </c>
      <c r="W69">
        <v>1504</v>
      </c>
      <c r="X69">
        <v>1561</v>
      </c>
      <c r="Y69" s="8">
        <v>28802</v>
      </c>
      <c r="Z69" s="7">
        <f t="shared" ref="Z69:Z75" si="25">X69/Y69</f>
        <v>5.4197625164919105E-2</v>
      </c>
    </row>
    <row r="70" spans="1:31" x14ac:dyDescent="0.25">
      <c r="A70" t="s">
        <v>125</v>
      </c>
      <c r="B70" t="s">
        <v>123</v>
      </c>
      <c r="C70" t="s">
        <v>42</v>
      </c>
      <c r="D70" s="2">
        <v>0.16666666666666666</v>
      </c>
      <c r="E70" t="s">
        <v>4</v>
      </c>
      <c r="F70">
        <v>8794</v>
      </c>
      <c r="G70" t="s">
        <v>30</v>
      </c>
      <c r="H70" t="s">
        <v>31</v>
      </c>
      <c r="I70" s="1">
        <v>-470723</v>
      </c>
      <c r="J70">
        <v>127717</v>
      </c>
      <c r="K70" t="s">
        <v>86</v>
      </c>
      <c r="L70" t="s">
        <v>29</v>
      </c>
      <c r="M70" s="1">
        <v>-1920539</v>
      </c>
      <c r="N70">
        <v>16265</v>
      </c>
      <c r="O70" t="s">
        <v>69</v>
      </c>
      <c r="P70" s="1">
        <v>-470539</v>
      </c>
      <c r="Q70" s="1">
        <v>-1920723</v>
      </c>
      <c r="R70">
        <v>6837</v>
      </c>
      <c r="S70" t="s">
        <v>53</v>
      </c>
      <c r="T70" t="s">
        <v>126</v>
      </c>
      <c r="U70" s="1">
        <v>-19201080</v>
      </c>
      <c r="W70">
        <v>469</v>
      </c>
      <c r="X70">
        <v>16655</v>
      </c>
      <c r="Y70" s="8">
        <v>176737</v>
      </c>
      <c r="Z70" s="7">
        <f t="shared" si="25"/>
        <v>9.4236068282249896E-2</v>
      </c>
    </row>
    <row r="71" spans="1:31" x14ac:dyDescent="0.25">
      <c r="A71" t="s">
        <v>127</v>
      </c>
      <c r="B71" t="s">
        <v>123</v>
      </c>
      <c r="C71" t="s">
        <v>27</v>
      </c>
      <c r="D71" t="s">
        <v>3</v>
      </c>
      <c r="E71" t="s">
        <v>4</v>
      </c>
      <c r="F71">
        <v>10630</v>
      </c>
      <c r="G71" t="s">
        <v>30</v>
      </c>
      <c r="H71" t="s">
        <v>31</v>
      </c>
      <c r="I71" s="1">
        <v>-470760</v>
      </c>
      <c r="J71">
        <v>99141</v>
      </c>
      <c r="K71" t="s">
        <v>86</v>
      </c>
      <c r="L71" t="s">
        <v>29</v>
      </c>
      <c r="M71" s="1">
        <v>-1920625</v>
      </c>
      <c r="N71">
        <v>3300</v>
      </c>
      <c r="O71" t="s">
        <v>69</v>
      </c>
      <c r="P71" s="1">
        <v>-470625</v>
      </c>
      <c r="Q71" s="1">
        <v>-1920760</v>
      </c>
      <c r="R71">
        <v>3394</v>
      </c>
      <c r="S71" t="s">
        <v>53</v>
      </c>
      <c r="T71" t="s">
        <v>128</v>
      </c>
      <c r="U71" s="1">
        <v>-19201080</v>
      </c>
      <c r="W71">
        <v>564</v>
      </c>
      <c r="X71">
        <v>7126</v>
      </c>
      <c r="Y71" s="8">
        <v>124155</v>
      </c>
      <c r="Z71" s="7">
        <f t="shared" si="25"/>
        <v>5.7395996939309732E-2</v>
      </c>
    </row>
    <row r="72" spans="1:31" x14ac:dyDescent="0.25">
      <c r="A72" t="s">
        <v>129</v>
      </c>
      <c r="B72" t="s">
        <v>123</v>
      </c>
      <c r="C72" t="s">
        <v>27</v>
      </c>
      <c r="D72" t="s">
        <v>3</v>
      </c>
      <c r="E72" s="2">
        <v>0.19375000000000001</v>
      </c>
      <c r="F72">
        <v>245</v>
      </c>
      <c r="G72" t="s">
        <v>30</v>
      </c>
      <c r="H72" t="s">
        <v>31</v>
      </c>
      <c r="I72" s="1">
        <v>-470576</v>
      </c>
      <c r="J72">
        <v>14537</v>
      </c>
      <c r="K72" t="s">
        <v>86</v>
      </c>
      <c r="L72" t="s">
        <v>29</v>
      </c>
      <c r="M72" s="1">
        <v>-1920318</v>
      </c>
      <c r="N72">
        <v>13569</v>
      </c>
      <c r="O72" t="s">
        <v>69</v>
      </c>
      <c r="P72" s="1">
        <v>-470318</v>
      </c>
      <c r="Q72" s="1">
        <v>-1920576</v>
      </c>
      <c r="R72">
        <v>788</v>
      </c>
      <c r="S72" t="s">
        <v>32</v>
      </c>
      <c r="T72" t="s">
        <v>130</v>
      </c>
      <c r="U72" s="1">
        <v>-19201080</v>
      </c>
      <c r="W72">
        <v>149</v>
      </c>
      <c r="X72">
        <v>4194</v>
      </c>
      <c r="Y72" s="8">
        <v>33482</v>
      </c>
      <c r="Z72" s="7">
        <f t="shared" si="25"/>
        <v>0.12526133444836032</v>
      </c>
    </row>
    <row r="73" spans="1:31" x14ac:dyDescent="0.25">
      <c r="A73" t="s">
        <v>129</v>
      </c>
      <c r="B73" t="s">
        <v>123</v>
      </c>
      <c r="C73" t="s">
        <v>27</v>
      </c>
      <c r="D73" s="2">
        <v>0.19375000000000001</v>
      </c>
      <c r="E73" t="s">
        <v>4</v>
      </c>
      <c r="F73">
        <v>288</v>
      </c>
      <c r="G73" t="s">
        <v>30</v>
      </c>
      <c r="H73" t="s">
        <v>31</v>
      </c>
      <c r="I73" s="1">
        <v>-470576</v>
      </c>
      <c r="J73">
        <v>19100</v>
      </c>
      <c r="K73" t="s">
        <v>86</v>
      </c>
      <c r="L73" t="s">
        <v>29</v>
      </c>
      <c r="M73" s="1">
        <v>-1920386</v>
      </c>
      <c r="N73">
        <v>9863</v>
      </c>
      <c r="O73" t="s">
        <v>69</v>
      </c>
      <c r="P73" s="1">
        <v>-470386</v>
      </c>
      <c r="Q73" s="1">
        <v>-1920576</v>
      </c>
      <c r="R73">
        <v>3158</v>
      </c>
      <c r="S73" t="s">
        <v>32</v>
      </c>
      <c r="T73" t="s">
        <v>130</v>
      </c>
      <c r="U73" s="1">
        <v>-19201080</v>
      </c>
      <c r="W73">
        <v>254</v>
      </c>
      <c r="X73">
        <v>4609</v>
      </c>
      <c r="Y73" s="8">
        <v>37272</v>
      </c>
      <c r="Z73" s="7">
        <f t="shared" si="25"/>
        <v>0.12365851040995922</v>
      </c>
    </row>
    <row r="74" spans="1:31" x14ac:dyDescent="0.25">
      <c r="A74" t="s">
        <v>131</v>
      </c>
      <c r="B74" t="s">
        <v>123</v>
      </c>
      <c r="C74" t="s">
        <v>38</v>
      </c>
      <c r="D74" t="s">
        <v>3</v>
      </c>
      <c r="E74" s="2">
        <v>0.39374999999999999</v>
      </c>
      <c r="F74">
        <v>3901</v>
      </c>
      <c r="G74" t="s">
        <v>30</v>
      </c>
      <c r="H74" t="s">
        <v>31</v>
      </c>
      <c r="I74" s="1">
        <v>-470760</v>
      </c>
      <c r="J74">
        <v>58774</v>
      </c>
      <c r="K74" t="s">
        <v>86</v>
      </c>
      <c r="L74" t="s">
        <v>29</v>
      </c>
      <c r="M74" s="1">
        <v>-1920630</v>
      </c>
      <c r="N74">
        <v>601</v>
      </c>
      <c r="O74" t="s">
        <v>69</v>
      </c>
      <c r="P74" s="1">
        <v>-470630</v>
      </c>
      <c r="Q74" s="1">
        <v>-1920760</v>
      </c>
      <c r="R74">
        <v>907</v>
      </c>
      <c r="S74" t="s">
        <v>32</v>
      </c>
      <c r="T74" t="s">
        <v>128</v>
      </c>
      <c r="U74" s="1">
        <v>-19201080</v>
      </c>
      <c r="W74">
        <v>459</v>
      </c>
      <c r="X74">
        <v>3399</v>
      </c>
      <c r="Y74" s="8">
        <v>68041</v>
      </c>
      <c r="Z74" s="7">
        <f t="shared" si="25"/>
        <v>4.9955174086212722E-2</v>
      </c>
    </row>
    <row r="75" spans="1:31" x14ac:dyDescent="0.25">
      <c r="A75" t="s">
        <v>131</v>
      </c>
      <c r="B75" t="s">
        <v>123</v>
      </c>
      <c r="C75" t="s">
        <v>38</v>
      </c>
      <c r="D75" s="2">
        <v>0.39374999999999999</v>
      </c>
      <c r="E75" t="s">
        <v>4</v>
      </c>
      <c r="F75">
        <v>900</v>
      </c>
      <c r="G75" t="s">
        <v>30</v>
      </c>
      <c r="H75" t="s">
        <v>31</v>
      </c>
      <c r="I75" s="1">
        <v>-470750</v>
      </c>
      <c r="J75">
        <v>79291</v>
      </c>
      <c r="K75" t="s">
        <v>86</v>
      </c>
      <c r="L75" t="s">
        <v>29</v>
      </c>
      <c r="M75" s="1">
        <v>-1920515</v>
      </c>
      <c r="N75">
        <v>14846</v>
      </c>
      <c r="O75" t="s">
        <v>69</v>
      </c>
      <c r="P75" s="1">
        <v>-470515</v>
      </c>
      <c r="Q75" s="1">
        <v>-1920750</v>
      </c>
      <c r="R75">
        <v>2670</v>
      </c>
      <c r="S75" t="s">
        <v>32</v>
      </c>
      <c r="T75" t="s">
        <v>132</v>
      </c>
      <c r="U75" s="1">
        <v>-19201080</v>
      </c>
      <c r="W75">
        <v>717</v>
      </c>
      <c r="X75">
        <v>13426</v>
      </c>
      <c r="Y75" s="8">
        <v>111850</v>
      </c>
      <c r="Z75" s="7">
        <f t="shared" si="25"/>
        <v>0.12003576218149307</v>
      </c>
      <c r="AA75" s="15">
        <f>SUM(F68:F75)</f>
        <v>46881</v>
      </c>
      <c r="AB75" s="13">
        <f>SUM(J68:J75,N68,N70:N75)</f>
        <v>579074</v>
      </c>
      <c r="AC75">
        <f>SUM(R68,R72:R75)</f>
        <v>12168</v>
      </c>
      <c r="AD75" s="11">
        <f>SUM(N69,R70:R71)</f>
        <v>10591</v>
      </c>
    </row>
    <row r="76" spans="1:31" s="6" customFormat="1" x14ac:dyDescent="0.25">
      <c r="W76" s="6">
        <f>SUM(W68:W75)/Y76</f>
        <v>1.6130898340359096E-2</v>
      </c>
      <c r="X76" s="6">
        <f>SUM(X68:X75)/Y76</f>
        <v>0.10087698403516103</v>
      </c>
      <c r="Y76" s="9">
        <f t="shared" ref="X76:Y76" si="26">SUM(Y68:Y75)</f>
        <v>734677</v>
      </c>
      <c r="AA76" s="16">
        <f>AA75/$Y76</f>
        <v>6.3811715896917962E-2</v>
      </c>
      <c r="AB76" s="14">
        <f t="shared" ref="AB76:AD76" si="27">AB75/$Y76</f>
        <v>0.78820216231078422</v>
      </c>
      <c r="AC76" s="6">
        <f t="shared" si="27"/>
        <v>1.6562380474684793E-2</v>
      </c>
      <c r="AD76" s="12">
        <f t="shared" si="27"/>
        <v>1.4415858942092919E-2</v>
      </c>
      <c r="AE76" s="6">
        <f>SUM(W76:X76,AC76)</f>
        <v>0.1335702628502049</v>
      </c>
    </row>
    <row r="77" spans="1:31" x14ac:dyDescent="0.25">
      <c r="D77" s="2"/>
      <c r="I77" s="1"/>
      <c r="M77" s="1"/>
      <c r="P77" s="1"/>
      <c r="Q77" s="1"/>
      <c r="U77" s="1"/>
    </row>
    <row r="78" spans="1:31" x14ac:dyDescent="0.25">
      <c r="A78" t="s">
        <v>133</v>
      </c>
      <c r="B78" t="s">
        <v>134</v>
      </c>
      <c r="C78" t="s">
        <v>68</v>
      </c>
      <c r="D78" t="s">
        <v>3</v>
      </c>
      <c r="E78" t="s">
        <v>4</v>
      </c>
      <c r="F78">
        <v>44893</v>
      </c>
      <c r="G78" t="s">
        <v>30</v>
      </c>
      <c r="H78" t="s">
        <v>31</v>
      </c>
      <c r="I78" s="1">
        <v>-605820</v>
      </c>
      <c r="J78">
        <v>168116</v>
      </c>
      <c r="K78" t="s">
        <v>28</v>
      </c>
      <c r="L78" t="s">
        <v>135</v>
      </c>
      <c r="M78" s="1">
        <v>-1920820</v>
      </c>
      <c r="N78">
        <v>258</v>
      </c>
      <c r="O78" t="s">
        <v>32</v>
      </c>
      <c r="P78" t="s">
        <v>136</v>
      </c>
      <c r="Q78" s="1">
        <v>-19201080</v>
      </c>
      <c r="W78">
        <v>365</v>
      </c>
      <c r="X78">
        <v>6831</v>
      </c>
      <c r="Y78" s="8">
        <v>220463</v>
      </c>
      <c r="Z78" s="7">
        <f>X78/Y78</f>
        <v>3.098479109873312E-2</v>
      </c>
    </row>
    <row r="79" spans="1:31" x14ac:dyDescent="0.25">
      <c r="A79" t="s">
        <v>137</v>
      </c>
      <c r="B79" t="s">
        <v>134</v>
      </c>
      <c r="C79" t="s">
        <v>27</v>
      </c>
      <c r="D79" t="s">
        <v>3</v>
      </c>
      <c r="E79" s="2">
        <v>0.13333333333333333</v>
      </c>
      <c r="F79">
        <v>0</v>
      </c>
      <c r="G79" t="s">
        <v>30</v>
      </c>
      <c r="H79" t="s">
        <v>31</v>
      </c>
      <c r="I79" s="1">
        <v>-470825</v>
      </c>
      <c r="J79">
        <v>0</v>
      </c>
      <c r="K79" t="s">
        <v>28</v>
      </c>
      <c r="L79" t="s">
        <v>29</v>
      </c>
      <c r="M79" s="1">
        <v>-1920825</v>
      </c>
      <c r="N79">
        <v>0</v>
      </c>
      <c r="O79" t="s">
        <v>32</v>
      </c>
      <c r="P79" t="s">
        <v>138</v>
      </c>
      <c r="Q79" s="1">
        <v>-19201080</v>
      </c>
      <c r="Z79" s="7" t="e">
        <f t="shared" ref="Z79:Z85" si="28">X79/Y79</f>
        <v>#DIV/0!</v>
      </c>
    </row>
    <row r="80" spans="1:31" x14ac:dyDescent="0.25">
      <c r="A80" t="s">
        <v>137</v>
      </c>
      <c r="B80" t="s">
        <v>134</v>
      </c>
      <c r="C80" t="s">
        <v>27</v>
      </c>
      <c r="D80" s="2">
        <v>0.13333333333333333</v>
      </c>
      <c r="E80" s="2">
        <v>0.31597222222222221</v>
      </c>
      <c r="F80">
        <v>0</v>
      </c>
      <c r="G80" t="s">
        <v>30</v>
      </c>
      <c r="H80" t="s">
        <v>31</v>
      </c>
      <c r="I80" s="1">
        <v>-572825</v>
      </c>
      <c r="J80">
        <v>0</v>
      </c>
      <c r="K80" t="s">
        <v>28</v>
      </c>
      <c r="L80" t="s">
        <v>139</v>
      </c>
      <c r="M80" s="1">
        <v>-1920825</v>
      </c>
      <c r="N80">
        <v>0</v>
      </c>
      <c r="O80" t="s">
        <v>32</v>
      </c>
      <c r="P80" t="s">
        <v>138</v>
      </c>
      <c r="Q80" s="1">
        <v>-19201080</v>
      </c>
      <c r="Z80" s="7" t="e">
        <f t="shared" si="28"/>
        <v>#DIV/0!</v>
      </c>
    </row>
    <row r="81" spans="1:31" x14ac:dyDescent="0.25">
      <c r="A81" t="s">
        <v>137</v>
      </c>
      <c r="B81" t="s">
        <v>134</v>
      </c>
      <c r="C81" t="s">
        <v>27</v>
      </c>
      <c r="D81" s="2">
        <v>0.31597222222222221</v>
      </c>
      <c r="E81" s="2">
        <v>0.64583333333333337</v>
      </c>
      <c r="F81">
        <v>0</v>
      </c>
      <c r="G81" t="s">
        <v>140</v>
      </c>
      <c r="H81" t="s">
        <v>31</v>
      </c>
      <c r="I81" s="1">
        <v>-719825</v>
      </c>
      <c r="J81">
        <v>0</v>
      </c>
      <c r="K81" t="s">
        <v>28</v>
      </c>
      <c r="L81" t="s">
        <v>141</v>
      </c>
      <c r="M81" s="1">
        <v>-1920825</v>
      </c>
      <c r="N81">
        <v>0</v>
      </c>
      <c r="O81" t="s">
        <v>32</v>
      </c>
      <c r="P81" t="s">
        <v>138</v>
      </c>
      <c r="Q81" s="1">
        <v>-19201080</v>
      </c>
      <c r="Z81" s="7" t="e">
        <f t="shared" si="28"/>
        <v>#DIV/0!</v>
      </c>
    </row>
    <row r="82" spans="1:31" x14ac:dyDescent="0.25">
      <c r="A82" t="s">
        <v>137</v>
      </c>
      <c r="B82" t="s">
        <v>134</v>
      </c>
      <c r="C82" t="s">
        <v>27</v>
      </c>
      <c r="D82" s="2">
        <v>0.64583333333333337</v>
      </c>
      <c r="E82" t="s">
        <v>4</v>
      </c>
      <c r="F82">
        <v>0</v>
      </c>
      <c r="G82" t="s">
        <v>30</v>
      </c>
      <c r="H82" t="s">
        <v>31</v>
      </c>
      <c r="I82" s="1">
        <v>-606825</v>
      </c>
      <c r="J82">
        <v>0</v>
      </c>
      <c r="K82" t="s">
        <v>28</v>
      </c>
      <c r="L82" t="s">
        <v>142</v>
      </c>
      <c r="M82" s="1">
        <v>-1920825</v>
      </c>
      <c r="N82">
        <v>0</v>
      </c>
      <c r="O82" t="s">
        <v>32</v>
      </c>
      <c r="P82" t="s">
        <v>138</v>
      </c>
      <c r="Q82" s="1">
        <v>-19201080</v>
      </c>
      <c r="Z82" s="7" t="e">
        <f t="shared" si="28"/>
        <v>#DIV/0!</v>
      </c>
    </row>
    <row r="83" spans="1:31" x14ac:dyDescent="0.25">
      <c r="A83" t="s">
        <v>143</v>
      </c>
      <c r="B83" t="s">
        <v>134</v>
      </c>
      <c r="C83" t="s">
        <v>38</v>
      </c>
      <c r="D83" t="s">
        <v>3</v>
      </c>
      <c r="E83" t="s">
        <v>4</v>
      </c>
      <c r="F83">
        <v>24777</v>
      </c>
      <c r="G83" t="s">
        <v>140</v>
      </c>
      <c r="H83" t="s">
        <v>31</v>
      </c>
      <c r="I83" s="1">
        <v>-740825</v>
      </c>
      <c r="J83">
        <v>133245</v>
      </c>
      <c r="K83" t="s">
        <v>28</v>
      </c>
      <c r="L83" t="s">
        <v>144</v>
      </c>
      <c r="M83" s="1">
        <v>-1920825</v>
      </c>
      <c r="N83">
        <v>789</v>
      </c>
      <c r="O83" t="s">
        <v>32</v>
      </c>
      <c r="P83" t="s">
        <v>138</v>
      </c>
      <c r="Q83" s="1">
        <v>-19201080</v>
      </c>
      <c r="W83">
        <v>309</v>
      </c>
      <c r="X83">
        <v>13440</v>
      </c>
      <c r="Y83" s="8">
        <v>172560</v>
      </c>
      <c r="Z83" s="7">
        <f t="shared" si="28"/>
        <v>7.7885952712100137E-2</v>
      </c>
    </row>
    <row r="84" spans="1:31" x14ac:dyDescent="0.25">
      <c r="A84" t="s">
        <v>145</v>
      </c>
      <c r="B84" t="s">
        <v>134</v>
      </c>
      <c r="C84" t="s">
        <v>82</v>
      </c>
      <c r="D84" t="s">
        <v>3</v>
      </c>
      <c r="E84" t="s">
        <v>4</v>
      </c>
      <c r="F84">
        <v>27797</v>
      </c>
      <c r="G84" t="s">
        <v>30</v>
      </c>
      <c r="H84" t="s">
        <v>31</v>
      </c>
      <c r="I84" s="1">
        <v>-650825</v>
      </c>
      <c r="J84">
        <v>39463</v>
      </c>
      <c r="K84" t="s">
        <v>28</v>
      </c>
      <c r="L84" t="s">
        <v>146</v>
      </c>
      <c r="M84" s="1">
        <v>-1920825</v>
      </c>
      <c r="N84">
        <v>125</v>
      </c>
      <c r="O84" t="s">
        <v>32</v>
      </c>
      <c r="P84" t="s">
        <v>138</v>
      </c>
      <c r="Q84" s="1">
        <v>-19201080</v>
      </c>
      <c r="W84">
        <v>238</v>
      </c>
      <c r="X84">
        <v>3534</v>
      </c>
      <c r="Y84" s="8">
        <v>71157</v>
      </c>
      <c r="Z84" s="7">
        <f t="shared" si="28"/>
        <v>4.9664825667186642E-2</v>
      </c>
    </row>
    <row r="85" spans="1:31" x14ac:dyDescent="0.25">
      <c r="A85" t="s">
        <v>147</v>
      </c>
      <c r="B85" t="s">
        <v>134</v>
      </c>
      <c r="C85" t="s">
        <v>82</v>
      </c>
      <c r="D85" t="s">
        <v>3</v>
      </c>
      <c r="E85" t="s">
        <v>4</v>
      </c>
      <c r="F85">
        <v>16704</v>
      </c>
      <c r="G85" t="s">
        <v>30</v>
      </c>
      <c r="H85" t="s">
        <v>31</v>
      </c>
      <c r="I85" s="1">
        <v>-650825</v>
      </c>
      <c r="J85">
        <v>108791</v>
      </c>
      <c r="K85" t="s">
        <v>28</v>
      </c>
      <c r="L85" t="s">
        <v>146</v>
      </c>
      <c r="M85" s="1">
        <v>-1920825</v>
      </c>
      <c r="N85">
        <v>533</v>
      </c>
      <c r="O85" t="s">
        <v>32</v>
      </c>
      <c r="P85" t="s">
        <v>138</v>
      </c>
      <c r="Q85" s="1">
        <v>-19201080</v>
      </c>
      <c r="W85">
        <v>239</v>
      </c>
      <c r="X85">
        <v>9720</v>
      </c>
      <c r="Y85" s="8">
        <v>135987</v>
      </c>
      <c r="Z85" s="7">
        <f t="shared" si="28"/>
        <v>7.1477420635796068E-2</v>
      </c>
      <c r="AC85">
        <f>SUM(N78:N85)</f>
        <v>1705</v>
      </c>
      <c r="AD85" s="11">
        <v>0</v>
      </c>
    </row>
    <row r="86" spans="1:31" s="6" customFormat="1" x14ac:dyDescent="0.25">
      <c r="W86" s="6">
        <f>SUM(W78:W85)/Y86</f>
        <v>1.9177995457930876E-3</v>
      </c>
      <c r="X86" s="6">
        <f>SUM(X78:X85)/Y86</f>
        <v>5.5859452452400746E-2</v>
      </c>
      <c r="Y86" s="9">
        <f t="shared" ref="X86:Y86" si="29">SUM(Y78:Y85)</f>
        <v>600167</v>
      </c>
      <c r="AA86" s="16" t="s">
        <v>272</v>
      </c>
      <c r="AB86" s="14" t="s">
        <v>272</v>
      </c>
      <c r="AC86" s="6">
        <f>AC85/Y86</f>
        <v>2.8408759561921932E-3</v>
      </c>
      <c r="AD86" s="12">
        <v>0</v>
      </c>
      <c r="AE86" s="6">
        <f>SUM(W86:X86,AC86)</f>
        <v>6.0618127954386029E-2</v>
      </c>
    </row>
    <row r="87" spans="1:31" x14ac:dyDescent="0.25">
      <c r="I87" s="1"/>
      <c r="M87" s="1"/>
      <c r="Q87" s="1"/>
    </row>
    <row r="88" spans="1:31" x14ac:dyDescent="0.25">
      <c r="A88" t="s">
        <v>148</v>
      </c>
      <c r="B88" t="s">
        <v>149</v>
      </c>
      <c r="C88" t="s">
        <v>27</v>
      </c>
      <c r="D88" t="s">
        <v>3</v>
      </c>
      <c r="E88" s="2">
        <v>0.20972222222222223</v>
      </c>
      <c r="F88">
        <v>13472</v>
      </c>
      <c r="G88" t="s">
        <v>30</v>
      </c>
      <c r="H88" t="s">
        <v>31</v>
      </c>
      <c r="I88" s="1">
        <v>-355825</v>
      </c>
      <c r="J88">
        <v>18746</v>
      </c>
      <c r="K88" t="s">
        <v>28</v>
      </c>
      <c r="L88" t="s">
        <v>150</v>
      </c>
      <c r="M88" s="1">
        <v>-1920825</v>
      </c>
      <c r="N88">
        <v>100</v>
      </c>
      <c r="O88" t="s">
        <v>53</v>
      </c>
      <c r="P88" t="s">
        <v>138</v>
      </c>
      <c r="Q88" s="1">
        <v>-19201080</v>
      </c>
      <c r="W88">
        <v>144</v>
      </c>
      <c r="X88">
        <v>3779</v>
      </c>
      <c r="Y88" s="8">
        <v>36241</v>
      </c>
      <c r="Z88" s="7">
        <f>X88/Y88</f>
        <v>0.10427416462018156</v>
      </c>
    </row>
    <row r="89" spans="1:31" x14ac:dyDescent="0.25">
      <c r="A89" t="s">
        <v>148</v>
      </c>
      <c r="B89" t="s">
        <v>149</v>
      </c>
      <c r="C89" t="s">
        <v>27</v>
      </c>
      <c r="D89" s="2">
        <v>0.20972222222222223</v>
      </c>
      <c r="E89" s="2">
        <v>0.22847222222222222</v>
      </c>
      <c r="F89">
        <v>1798</v>
      </c>
      <c r="G89" t="s">
        <v>140</v>
      </c>
      <c r="H89" t="s">
        <v>31</v>
      </c>
      <c r="I89" t="s">
        <v>151</v>
      </c>
      <c r="J89">
        <v>149</v>
      </c>
      <c r="K89" t="s">
        <v>28</v>
      </c>
      <c r="L89" t="s">
        <v>152</v>
      </c>
      <c r="M89" s="1">
        <v>-1920825</v>
      </c>
      <c r="N89">
        <v>0</v>
      </c>
      <c r="O89" t="s">
        <v>53</v>
      </c>
      <c r="P89" t="s">
        <v>138</v>
      </c>
      <c r="Q89" s="1">
        <v>-19201080</v>
      </c>
      <c r="W89">
        <v>0</v>
      </c>
      <c r="X89">
        <v>1293</v>
      </c>
      <c r="Y89" s="8">
        <v>3240</v>
      </c>
      <c r="Z89" s="7">
        <f t="shared" ref="Z89:Z95" si="30">X89/Y89</f>
        <v>0.39907407407407408</v>
      </c>
    </row>
    <row r="90" spans="1:31" x14ac:dyDescent="0.25">
      <c r="A90" t="s">
        <v>148</v>
      </c>
      <c r="B90" t="s">
        <v>149</v>
      </c>
      <c r="C90" t="s">
        <v>27</v>
      </c>
      <c r="D90" s="2">
        <v>0.22847222222222222</v>
      </c>
      <c r="E90" t="s">
        <v>4</v>
      </c>
      <c r="F90">
        <v>92874</v>
      </c>
      <c r="G90" t="s">
        <v>140</v>
      </c>
      <c r="H90" t="s">
        <v>31</v>
      </c>
      <c r="I90" s="1">
        <v>-829825</v>
      </c>
      <c r="J90">
        <v>43475</v>
      </c>
      <c r="K90" t="s">
        <v>28</v>
      </c>
      <c r="L90" t="s">
        <v>153</v>
      </c>
      <c r="M90" s="1">
        <v>-1920825</v>
      </c>
      <c r="N90">
        <v>572</v>
      </c>
      <c r="O90" t="s">
        <v>53</v>
      </c>
      <c r="P90" t="s">
        <v>138</v>
      </c>
      <c r="Q90" s="1">
        <v>-19201080</v>
      </c>
      <c r="W90">
        <v>328</v>
      </c>
      <c r="X90">
        <v>32819</v>
      </c>
      <c r="Y90" s="8">
        <v>170068</v>
      </c>
      <c r="Z90" s="7">
        <f t="shared" si="30"/>
        <v>0.19297575087612015</v>
      </c>
    </row>
    <row r="91" spans="1:31" x14ac:dyDescent="0.25">
      <c r="A91" t="s">
        <v>154</v>
      </c>
      <c r="B91" t="s">
        <v>149</v>
      </c>
      <c r="C91" t="s">
        <v>38</v>
      </c>
      <c r="D91" t="s">
        <v>3</v>
      </c>
      <c r="E91" s="2">
        <v>0.12430555555555556</v>
      </c>
      <c r="F91">
        <v>1308</v>
      </c>
      <c r="G91" t="s">
        <v>30</v>
      </c>
      <c r="H91" t="s">
        <v>31</v>
      </c>
      <c r="I91" s="1">
        <v>-829820</v>
      </c>
      <c r="J91">
        <v>15965</v>
      </c>
      <c r="K91" t="s">
        <v>28</v>
      </c>
      <c r="L91" t="s">
        <v>155</v>
      </c>
      <c r="M91" s="1">
        <v>-1920820</v>
      </c>
      <c r="N91">
        <v>278</v>
      </c>
      <c r="O91" t="s">
        <v>53</v>
      </c>
      <c r="P91" t="s">
        <v>136</v>
      </c>
      <c r="Q91" s="1">
        <v>-19201080</v>
      </c>
      <c r="W91">
        <v>61</v>
      </c>
      <c r="X91">
        <v>3871</v>
      </c>
      <c r="Y91" s="8">
        <v>21483</v>
      </c>
      <c r="Z91" s="7">
        <f t="shared" si="30"/>
        <v>0.18018898664059954</v>
      </c>
    </row>
    <row r="92" spans="1:31" x14ac:dyDescent="0.25">
      <c r="A92" t="s">
        <v>154</v>
      </c>
      <c r="B92" t="s">
        <v>149</v>
      </c>
      <c r="C92" t="s">
        <v>38</v>
      </c>
      <c r="D92" s="2">
        <v>0.12430555555555556</v>
      </c>
      <c r="E92" t="s">
        <v>4</v>
      </c>
      <c r="F92">
        <v>55815</v>
      </c>
      <c r="G92" t="s">
        <v>140</v>
      </c>
      <c r="H92" t="s">
        <v>31</v>
      </c>
      <c r="I92" s="1">
        <v>-960755</v>
      </c>
      <c r="J92">
        <v>70527</v>
      </c>
      <c r="K92" t="s">
        <v>28</v>
      </c>
      <c r="L92" t="s">
        <v>156</v>
      </c>
      <c r="M92" s="1">
        <v>-1920755</v>
      </c>
      <c r="N92">
        <v>14737</v>
      </c>
      <c r="O92" t="s">
        <v>53</v>
      </c>
      <c r="P92" t="s">
        <v>157</v>
      </c>
      <c r="Q92" s="1">
        <v>-19201080</v>
      </c>
      <c r="W92">
        <v>265</v>
      </c>
      <c r="X92">
        <v>68039</v>
      </c>
      <c r="Y92" s="8">
        <v>209383</v>
      </c>
      <c r="Z92" s="7">
        <f t="shared" si="30"/>
        <v>0.32494997206076903</v>
      </c>
    </row>
    <row r="93" spans="1:31" x14ac:dyDescent="0.25">
      <c r="A93" t="s">
        <v>158</v>
      </c>
      <c r="B93" t="s">
        <v>149</v>
      </c>
      <c r="C93" t="s">
        <v>45</v>
      </c>
      <c r="D93" t="s">
        <v>3</v>
      </c>
      <c r="E93" s="2">
        <v>0.48472222222222222</v>
      </c>
      <c r="F93">
        <v>7676</v>
      </c>
      <c r="G93" t="s">
        <v>140</v>
      </c>
      <c r="H93" t="s">
        <v>31</v>
      </c>
      <c r="I93" s="1">
        <v>-1085755</v>
      </c>
      <c r="J93">
        <v>23537</v>
      </c>
      <c r="K93" t="s">
        <v>28</v>
      </c>
      <c r="L93" t="s">
        <v>159</v>
      </c>
      <c r="M93" s="1">
        <v>-1920755</v>
      </c>
      <c r="N93">
        <v>171</v>
      </c>
      <c r="O93" t="s">
        <v>53</v>
      </c>
      <c r="P93" t="s">
        <v>157</v>
      </c>
      <c r="Q93" s="1">
        <v>-19201080</v>
      </c>
      <c r="W93">
        <v>80</v>
      </c>
      <c r="X93">
        <v>52297</v>
      </c>
      <c r="Y93" s="8">
        <v>83761</v>
      </c>
      <c r="Z93" s="7">
        <f t="shared" si="30"/>
        <v>0.62435978558040139</v>
      </c>
    </row>
    <row r="94" spans="1:31" x14ac:dyDescent="0.25">
      <c r="A94" t="s">
        <v>158</v>
      </c>
      <c r="B94" t="s">
        <v>149</v>
      </c>
      <c r="C94" t="s">
        <v>45</v>
      </c>
      <c r="D94" s="2">
        <v>0.48472222222222222</v>
      </c>
      <c r="E94" s="2">
        <v>0.63402777777777775</v>
      </c>
      <c r="F94">
        <v>1225</v>
      </c>
      <c r="G94" t="s">
        <v>140</v>
      </c>
      <c r="H94" t="s">
        <v>31</v>
      </c>
      <c r="I94" s="1">
        <v>-785755</v>
      </c>
      <c r="J94">
        <v>7151</v>
      </c>
      <c r="K94" t="s">
        <v>28</v>
      </c>
      <c r="L94" t="s">
        <v>160</v>
      </c>
      <c r="M94" s="1">
        <v>-1920755</v>
      </c>
      <c r="N94">
        <v>17</v>
      </c>
      <c r="O94" t="s">
        <v>53</v>
      </c>
      <c r="P94" t="s">
        <v>157</v>
      </c>
      <c r="Q94" s="1">
        <v>-19201080</v>
      </c>
      <c r="W94">
        <v>4</v>
      </c>
      <c r="X94">
        <v>17402</v>
      </c>
      <c r="Y94" s="8">
        <v>25799</v>
      </c>
      <c r="Z94" s="7">
        <f t="shared" si="30"/>
        <v>0.67452226830497308</v>
      </c>
    </row>
    <row r="95" spans="1:31" x14ac:dyDescent="0.25">
      <c r="A95" t="s">
        <v>158</v>
      </c>
      <c r="B95" t="s">
        <v>149</v>
      </c>
      <c r="C95" t="s">
        <v>45</v>
      </c>
      <c r="D95" s="2">
        <v>0.63402777777777775</v>
      </c>
      <c r="E95" t="s">
        <v>4</v>
      </c>
      <c r="F95">
        <v>4785</v>
      </c>
      <c r="G95" t="s">
        <v>140</v>
      </c>
      <c r="H95" t="s">
        <v>31</v>
      </c>
      <c r="I95" s="1">
        <v>-1100755</v>
      </c>
      <c r="J95">
        <v>4820</v>
      </c>
      <c r="K95" t="s">
        <v>28</v>
      </c>
      <c r="L95" t="s">
        <v>161</v>
      </c>
      <c r="M95" s="1">
        <v>-1920755</v>
      </c>
      <c r="N95">
        <v>239</v>
      </c>
      <c r="O95" t="s">
        <v>53</v>
      </c>
      <c r="P95" t="s">
        <v>157</v>
      </c>
      <c r="Q95" s="1">
        <v>-19201080</v>
      </c>
      <c r="W95">
        <v>130</v>
      </c>
      <c r="X95">
        <v>32223</v>
      </c>
      <c r="Y95" s="8">
        <v>42197</v>
      </c>
      <c r="Z95" s="7">
        <f t="shared" si="30"/>
        <v>0.76363248572173381</v>
      </c>
      <c r="AC95">
        <v>0</v>
      </c>
      <c r="AD95" s="11">
        <f>SUM(N88:N95)</f>
        <v>16114</v>
      </c>
    </row>
    <row r="96" spans="1:31" s="6" customFormat="1" x14ac:dyDescent="0.25">
      <c r="W96" s="6">
        <f>SUM(W88:W95)/Y96</f>
        <v>1.7089629364441413E-3</v>
      </c>
      <c r="X96" s="6">
        <f>SUM(X88:X95)/Y96</f>
        <v>0.35753632390589218</v>
      </c>
      <c r="Y96" s="9">
        <f t="shared" ref="X96:Y96" si="31">SUM(Y88:Y95)</f>
        <v>592172</v>
      </c>
      <c r="AA96" s="16" t="s">
        <v>272</v>
      </c>
      <c r="AB96" s="14" t="s">
        <v>272</v>
      </c>
      <c r="AC96" s="6">
        <v>0</v>
      </c>
      <c r="AD96" s="12">
        <f>AD95/Y96</f>
        <v>2.7211688495909971E-2</v>
      </c>
      <c r="AE96" s="6">
        <f>SUM(W96:X96,AC96)</f>
        <v>0.35924528684233631</v>
      </c>
    </row>
    <row r="97" spans="1:31" x14ac:dyDescent="0.25">
      <c r="D97" s="2"/>
      <c r="I97" s="1"/>
      <c r="M97" s="1"/>
      <c r="Q97" s="1"/>
    </row>
    <row r="98" spans="1:31" x14ac:dyDescent="0.25">
      <c r="A98" t="s">
        <v>162</v>
      </c>
      <c r="B98" t="s">
        <v>163</v>
      </c>
      <c r="C98" t="s">
        <v>27</v>
      </c>
      <c r="D98" t="s">
        <v>3</v>
      </c>
      <c r="E98" t="s">
        <v>4</v>
      </c>
      <c r="F98">
        <v>9113</v>
      </c>
      <c r="G98" t="s">
        <v>30</v>
      </c>
      <c r="H98" t="s">
        <v>31</v>
      </c>
      <c r="I98" s="1">
        <v>-300755</v>
      </c>
      <c r="J98">
        <v>88786</v>
      </c>
      <c r="K98" t="s">
        <v>28</v>
      </c>
      <c r="L98" t="s">
        <v>164</v>
      </c>
      <c r="M98" s="1">
        <v>-1920755</v>
      </c>
      <c r="N98">
        <v>9782</v>
      </c>
      <c r="O98" t="s">
        <v>53</v>
      </c>
      <c r="P98" t="s">
        <v>157</v>
      </c>
      <c r="Q98" s="1">
        <v>-19201080</v>
      </c>
      <c r="W98">
        <v>305</v>
      </c>
      <c r="X98">
        <v>3982</v>
      </c>
      <c r="Y98" s="8">
        <v>111968</v>
      </c>
      <c r="Z98" s="7">
        <f>X98/Y98</f>
        <v>3.5563732494998571E-2</v>
      </c>
    </row>
    <row r="99" spans="1:31" x14ac:dyDescent="0.25">
      <c r="A99" t="s">
        <v>165</v>
      </c>
      <c r="B99" t="s">
        <v>163</v>
      </c>
      <c r="C99" t="s">
        <v>38</v>
      </c>
      <c r="D99" t="s">
        <v>3</v>
      </c>
      <c r="E99" t="s">
        <v>4</v>
      </c>
      <c r="F99">
        <v>73</v>
      </c>
      <c r="G99" t="s">
        <v>30</v>
      </c>
      <c r="H99" t="s">
        <v>31</v>
      </c>
      <c r="I99" t="s">
        <v>166</v>
      </c>
      <c r="J99">
        <v>657</v>
      </c>
      <c r="K99" t="s">
        <v>28</v>
      </c>
      <c r="L99" t="s">
        <v>164</v>
      </c>
      <c r="M99" s="1">
        <v>-1920755</v>
      </c>
      <c r="N99">
        <v>229</v>
      </c>
      <c r="O99" t="s">
        <v>53</v>
      </c>
      <c r="P99" t="s">
        <v>157</v>
      </c>
      <c r="Q99" s="1">
        <v>-19201080</v>
      </c>
      <c r="W99">
        <v>0</v>
      </c>
      <c r="X99">
        <v>37</v>
      </c>
      <c r="Y99" s="8">
        <v>996</v>
      </c>
      <c r="Z99" s="7">
        <f t="shared" ref="Z99:Z103" si="32">X99/Y99</f>
        <v>3.7148594377510037E-2</v>
      </c>
    </row>
    <row r="100" spans="1:31" x14ac:dyDescent="0.25">
      <c r="A100" t="s">
        <v>167</v>
      </c>
      <c r="B100" t="s">
        <v>163</v>
      </c>
      <c r="C100" t="s">
        <v>38</v>
      </c>
      <c r="D100" t="s">
        <v>3</v>
      </c>
      <c r="E100" t="s">
        <v>4</v>
      </c>
      <c r="F100">
        <v>2671</v>
      </c>
      <c r="G100" t="s">
        <v>30</v>
      </c>
      <c r="H100" t="s">
        <v>31</v>
      </c>
      <c r="I100" t="s">
        <v>166</v>
      </c>
      <c r="J100">
        <v>128517</v>
      </c>
      <c r="K100" t="s">
        <v>28</v>
      </c>
      <c r="L100" t="s">
        <v>164</v>
      </c>
      <c r="M100" s="1">
        <v>-1920755</v>
      </c>
      <c r="N100">
        <v>30592</v>
      </c>
      <c r="O100" t="s">
        <v>53</v>
      </c>
      <c r="P100" t="s">
        <v>157</v>
      </c>
      <c r="Q100" s="1">
        <v>-19201080</v>
      </c>
      <c r="W100">
        <v>370</v>
      </c>
      <c r="X100">
        <v>7699</v>
      </c>
      <c r="Y100" s="8">
        <v>169849</v>
      </c>
      <c r="Z100" s="7">
        <f t="shared" si="32"/>
        <v>4.5328497665573536E-2</v>
      </c>
    </row>
    <row r="101" spans="1:31" x14ac:dyDescent="0.25">
      <c r="A101" t="s">
        <v>168</v>
      </c>
      <c r="B101" t="s">
        <v>163</v>
      </c>
      <c r="C101" t="s">
        <v>45</v>
      </c>
      <c r="D101" t="s">
        <v>3</v>
      </c>
      <c r="E101" t="s">
        <v>4</v>
      </c>
      <c r="F101">
        <v>17482</v>
      </c>
      <c r="G101" t="s">
        <v>30</v>
      </c>
      <c r="H101" t="s">
        <v>31</v>
      </c>
      <c r="I101" t="s">
        <v>166</v>
      </c>
      <c r="J101">
        <v>118333</v>
      </c>
      <c r="K101" t="s">
        <v>28</v>
      </c>
      <c r="L101" t="s">
        <v>164</v>
      </c>
      <c r="M101" s="1">
        <v>-1920755</v>
      </c>
      <c r="N101">
        <v>37192</v>
      </c>
      <c r="O101" t="s">
        <v>53</v>
      </c>
      <c r="P101" t="s">
        <v>157</v>
      </c>
      <c r="Q101" s="1">
        <v>-19201080</v>
      </c>
      <c r="W101">
        <v>991</v>
      </c>
      <c r="X101">
        <v>5570</v>
      </c>
      <c r="Y101" s="8">
        <v>179568</v>
      </c>
      <c r="Z101" s="7">
        <f t="shared" si="32"/>
        <v>3.1018889779916244E-2</v>
      </c>
    </row>
    <row r="102" spans="1:31" x14ac:dyDescent="0.25">
      <c r="A102" t="s">
        <v>169</v>
      </c>
      <c r="B102" t="s">
        <v>163</v>
      </c>
      <c r="C102" t="s">
        <v>47</v>
      </c>
      <c r="D102" t="s">
        <v>3</v>
      </c>
      <c r="E102" t="s">
        <v>4</v>
      </c>
      <c r="F102">
        <v>4913</v>
      </c>
      <c r="G102" t="s">
        <v>30</v>
      </c>
      <c r="H102" t="s">
        <v>31</v>
      </c>
      <c r="I102" t="s">
        <v>166</v>
      </c>
      <c r="J102">
        <v>77310</v>
      </c>
      <c r="K102" t="s">
        <v>28</v>
      </c>
      <c r="L102" t="s">
        <v>164</v>
      </c>
      <c r="M102" s="1">
        <v>-1920755</v>
      </c>
      <c r="N102">
        <v>7598</v>
      </c>
      <c r="O102" t="s">
        <v>53</v>
      </c>
      <c r="P102" t="s">
        <v>157</v>
      </c>
      <c r="Q102" s="1">
        <v>-19201080</v>
      </c>
      <c r="W102">
        <v>189</v>
      </c>
      <c r="X102">
        <v>1753</v>
      </c>
      <c r="Y102" s="8">
        <v>91763</v>
      </c>
      <c r="Z102" s="7">
        <f t="shared" si="32"/>
        <v>1.9103560258491983E-2</v>
      </c>
    </row>
    <row r="103" spans="1:31" x14ac:dyDescent="0.25">
      <c r="A103" t="s">
        <v>170</v>
      </c>
      <c r="B103" t="s">
        <v>163</v>
      </c>
      <c r="C103" t="s">
        <v>82</v>
      </c>
      <c r="D103" t="s">
        <v>3</v>
      </c>
      <c r="E103" t="s">
        <v>4</v>
      </c>
      <c r="F103">
        <v>2657</v>
      </c>
      <c r="G103" t="s">
        <v>30</v>
      </c>
      <c r="H103" t="s">
        <v>31</v>
      </c>
      <c r="I103" t="s">
        <v>166</v>
      </c>
      <c r="J103">
        <v>156386</v>
      </c>
      <c r="K103" t="s">
        <v>28</v>
      </c>
      <c r="L103" t="s">
        <v>164</v>
      </c>
      <c r="M103" s="1">
        <v>-1920755</v>
      </c>
      <c r="N103">
        <v>4870</v>
      </c>
      <c r="O103" t="s">
        <v>53</v>
      </c>
      <c r="P103" t="s">
        <v>157</v>
      </c>
      <c r="Q103" s="1">
        <v>-19201080</v>
      </c>
      <c r="W103">
        <v>646</v>
      </c>
      <c r="X103">
        <v>8226</v>
      </c>
      <c r="Y103" s="8">
        <v>172785</v>
      </c>
      <c r="Z103" s="7">
        <f t="shared" si="32"/>
        <v>4.7608299331539199E-2</v>
      </c>
      <c r="AA103" s="15">
        <f>SUM(F98:F103)</f>
        <v>36909</v>
      </c>
      <c r="AB103" s="13">
        <f>SUM(J98:J103)</f>
        <v>569989</v>
      </c>
      <c r="AC103">
        <v>0</v>
      </c>
      <c r="AD103" s="11">
        <f>SUM(N98:N103)</f>
        <v>90263</v>
      </c>
    </row>
    <row r="104" spans="1:31" s="6" customFormat="1" x14ac:dyDescent="0.25">
      <c r="W104" s="6">
        <f>SUM(W98:W103)/Y104</f>
        <v>3.4405010668167044E-3</v>
      </c>
      <c r="X104" s="6">
        <f>SUM(X98:X103)/Y104</f>
        <v>3.7509853094318701E-2</v>
      </c>
      <c r="Y104" s="9">
        <f t="shared" ref="X104:Y104" si="33">SUM(Y98:Y103)</f>
        <v>726929</v>
      </c>
      <c r="AA104" s="16">
        <f>AA103/$Y104</f>
        <v>5.0773872001254591E-2</v>
      </c>
      <c r="AB104" s="14">
        <f t="shared" ref="AB104:AD104" si="34">AB103/$Y104</f>
        <v>0.78410546284437688</v>
      </c>
      <c r="AC104" s="6">
        <f t="shared" si="34"/>
        <v>0</v>
      </c>
      <c r="AD104" s="12">
        <f t="shared" si="34"/>
        <v>0.12417031099323318</v>
      </c>
      <c r="AE104" s="6">
        <f>SUM(W104:X104,AC104)</f>
        <v>4.0950354161135405E-2</v>
      </c>
    </row>
    <row r="105" spans="1:31" x14ac:dyDescent="0.25">
      <c r="M105" s="1"/>
      <c r="Q105" s="1"/>
    </row>
    <row r="106" spans="1:31" x14ac:dyDescent="0.25">
      <c r="A106" t="s">
        <v>171</v>
      </c>
      <c r="B106" t="s">
        <v>172</v>
      </c>
      <c r="C106" t="s">
        <v>27</v>
      </c>
      <c r="D106" t="s">
        <v>3</v>
      </c>
      <c r="E106" s="2">
        <v>0.1451388888888889</v>
      </c>
      <c r="F106">
        <v>7003</v>
      </c>
      <c r="G106" t="s">
        <v>30</v>
      </c>
      <c r="H106" t="s">
        <v>31</v>
      </c>
      <c r="I106" t="s">
        <v>166</v>
      </c>
      <c r="J106">
        <v>16247</v>
      </c>
      <c r="K106" t="s">
        <v>28</v>
      </c>
      <c r="L106" t="s">
        <v>164</v>
      </c>
      <c r="M106" s="1">
        <v>-1920755</v>
      </c>
      <c r="N106">
        <v>51</v>
      </c>
      <c r="O106" t="s">
        <v>53</v>
      </c>
      <c r="P106" t="s">
        <v>157</v>
      </c>
      <c r="Q106" s="1">
        <v>-19201080</v>
      </c>
      <c r="W106">
        <v>62</v>
      </c>
      <c r="X106">
        <v>1719</v>
      </c>
      <c r="Y106" s="8">
        <v>25082</v>
      </c>
      <c r="Z106" s="7">
        <f>X106/Y106</f>
        <v>6.8535204529144411E-2</v>
      </c>
    </row>
    <row r="107" spans="1:31" x14ac:dyDescent="0.25">
      <c r="A107" t="s">
        <v>171</v>
      </c>
      <c r="B107" t="s">
        <v>172</v>
      </c>
      <c r="C107" t="s">
        <v>27</v>
      </c>
      <c r="D107" s="2">
        <v>0.1451388888888889</v>
      </c>
      <c r="E107" t="s">
        <v>4</v>
      </c>
      <c r="F107">
        <v>94056</v>
      </c>
      <c r="G107" t="s">
        <v>140</v>
      </c>
      <c r="H107" t="s">
        <v>31</v>
      </c>
      <c r="I107" s="1">
        <v>-780710</v>
      </c>
      <c r="J107">
        <v>93430</v>
      </c>
      <c r="K107" t="s">
        <v>28</v>
      </c>
      <c r="L107" t="s">
        <v>173</v>
      </c>
      <c r="M107" s="1">
        <v>-1920710</v>
      </c>
      <c r="N107">
        <v>15636</v>
      </c>
      <c r="O107" t="s">
        <v>53</v>
      </c>
      <c r="P107" t="s">
        <v>174</v>
      </c>
      <c r="Q107" s="1">
        <v>-19201080</v>
      </c>
      <c r="W107">
        <v>919</v>
      </c>
      <c r="X107">
        <v>47058</v>
      </c>
      <c r="Y107" s="8">
        <v>251099</v>
      </c>
      <c r="Z107" s="7">
        <f t="shared" ref="Z107:Z109" si="35">X107/Y107</f>
        <v>0.18740815375608824</v>
      </c>
    </row>
    <row r="108" spans="1:31" x14ac:dyDescent="0.25">
      <c r="A108" t="s">
        <v>175</v>
      </c>
      <c r="B108" t="s">
        <v>172</v>
      </c>
      <c r="C108" t="s">
        <v>38</v>
      </c>
      <c r="D108" t="s">
        <v>3</v>
      </c>
      <c r="E108" t="s">
        <v>4</v>
      </c>
      <c r="F108">
        <v>85521</v>
      </c>
      <c r="G108" t="s">
        <v>140</v>
      </c>
      <c r="H108" t="s">
        <v>31</v>
      </c>
      <c r="I108" s="1">
        <v>-780710</v>
      </c>
      <c r="J108">
        <v>82236</v>
      </c>
      <c r="K108" t="s">
        <v>28</v>
      </c>
      <c r="L108" t="s">
        <v>173</v>
      </c>
      <c r="M108" s="1">
        <v>-1920710</v>
      </c>
      <c r="N108">
        <v>9690</v>
      </c>
      <c r="O108" t="s">
        <v>53</v>
      </c>
      <c r="P108" t="s">
        <v>174</v>
      </c>
      <c r="Q108" s="1">
        <v>-19201080</v>
      </c>
      <c r="W108">
        <v>1198</v>
      </c>
      <c r="X108">
        <v>42002</v>
      </c>
      <c r="Y108" s="8">
        <v>220647</v>
      </c>
      <c r="Z108" s="7">
        <f t="shared" si="35"/>
        <v>0.19035835520084116</v>
      </c>
    </row>
    <row r="109" spans="1:31" x14ac:dyDescent="0.25">
      <c r="A109" t="s">
        <v>176</v>
      </c>
      <c r="B109" t="s">
        <v>172</v>
      </c>
      <c r="C109" t="s">
        <v>45</v>
      </c>
      <c r="D109" t="s">
        <v>3</v>
      </c>
      <c r="E109" t="s">
        <v>4</v>
      </c>
      <c r="F109">
        <v>72051</v>
      </c>
      <c r="G109" t="s">
        <v>140</v>
      </c>
      <c r="H109" t="s">
        <v>31</v>
      </c>
      <c r="I109" s="1">
        <v>-780710</v>
      </c>
      <c r="J109">
        <v>83070</v>
      </c>
      <c r="K109" t="s">
        <v>28</v>
      </c>
      <c r="L109" t="s">
        <v>173</v>
      </c>
      <c r="M109" s="1">
        <v>-1920710</v>
      </c>
      <c r="N109">
        <v>1945</v>
      </c>
      <c r="O109" t="s">
        <v>53</v>
      </c>
      <c r="P109" t="s">
        <v>174</v>
      </c>
      <c r="Q109" s="1">
        <v>-19201080</v>
      </c>
      <c r="W109">
        <v>1374</v>
      </c>
      <c r="X109">
        <v>32271</v>
      </c>
      <c r="Y109" s="8">
        <v>190711</v>
      </c>
      <c r="Z109" s="7">
        <f t="shared" si="35"/>
        <v>0.16921415125504036</v>
      </c>
      <c r="AC109">
        <v>0</v>
      </c>
      <c r="AD109" s="11">
        <f>SUM(N106:N109)</f>
        <v>27322</v>
      </c>
    </row>
    <row r="110" spans="1:31" s="3" customFormat="1" x14ac:dyDescent="0.25">
      <c r="I110" s="4"/>
      <c r="M110" s="4"/>
      <c r="Q110" s="4"/>
      <c r="W110" s="5">
        <f>SUM(W106:W109)/Y110</f>
        <v>5.1677068500841404E-3</v>
      </c>
      <c r="X110" s="5">
        <f>SUM(X106:X109)/Y110</f>
        <v>0.17897166560733282</v>
      </c>
      <c r="Y110" s="10">
        <f t="shared" ref="X110:Y110" si="36">SUM(Y106:Y109)</f>
        <v>687539</v>
      </c>
      <c r="AA110" s="15" t="s">
        <v>272</v>
      </c>
      <c r="AB110" s="13" t="s">
        <v>272</v>
      </c>
      <c r="AC110" s="3">
        <v>0</v>
      </c>
      <c r="AD110" s="12">
        <f>AD109/Y110</f>
        <v>3.9738836633267348E-2</v>
      </c>
      <c r="AE110" s="6">
        <f>SUM(W110:X110,AC110)</f>
        <v>0.18413937245741696</v>
      </c>
    </row>
    <row r="111" spans="1:31" x14ac:dyDescent="0.25">
      <c r="I111" s="1"/>
      <c r="M111" s="1"/>
      <c r="Q111" s="1"/>
    </row>
    <row r="112" spans="1:31" x14ac:dyDescent="0.25">
      <c r="A112" t="s">
        <v>177</v>
      </c>
      <c r="B112" t="s">
        <v>178</v>
      </c>
      <c r="C112" t="s">
        <v>27</v>
      </c>
      <c r="D112" t="s">
        <v>3</v>
      </c>
      <c r="E112" s="2">
        <v>0.11458333333333333</v>
      </c>
      <c r="F112">
        <v>4771</v>
      </c>
      <c r="G112" t="s">
        <v>30</v>
      </c>
      <c r="H112" t="s">
        <v>31</v>
      </c>
      <c r="I112" s="1">
        <v>-400826</v>
      </c>
      <c r="J112">
        <v>10319</v>
      </c>
      <c r="K112" t="s">
        <v>28</v>
      </c>
      <c r="L112" t="s">
        <v>179</v>
      </c>
      <c r="M112" s="1">
        <v>-1920826</v>
      </c>
      <c r="N112">
        <v>3458</v>
      </c>
      <c r="O112" t="s">
        <v>53</v>
      </c>
      <c r="P112" t="s">
        <v>180</v>
      </c>
      <c r="Q112" s="1">
        <v>-19201080</v>
      </c>
      <c r="W112">
        <v>164</v>
      </c>
      <c r="X112">
        <v>1090</v>
      </c>
      <c r="Y112" s="8">
        <v>19802</v>
      </c>
      <c r="Z112" s="7">
        <f>X112/Y112</f>
        <v>5.5044944955055047E-2</v>
      </c>
    </row>
    <row r="113" spans="1:31" x14ac:dyDescent="0.25">
      <c r="A113" t="s">
        <v>177</v>
      </c>
      <c r="B113" t="s">
        <v>178</v>
      </c>
      <c r="C113" t="s">
        <v>27</v>
      </c>
      <c r="D113" s="2">
        <v>0.11458333333333333</v>
      </c>
      <c r="E113" t="s">
        <v>4</v>
      </c>
      <c r="F113">
        <v>26646</v>
      </c>
      <c r="G113" t="s">
        <v>140</v>
      </c>
      <c r="H113" t="s">
        <v>31</v>
      </c>
      <c r="I113" s="1">
        <v>-738770</v>
      </c>
      <c r="J113">
        <v>26735</v>
      </c>
      <c r="K113" t="s">
        <v>28</v>
      </c>
      <c r="L113" t="s">
        <v>181</v>
      </c>
      <c r="M113" s="1">
        <v>-1920770</v>
      </c>
      <c r="N113">
        <v>25049</v>
      </c>
      <c r="O113" t="s">
        <v>53</v>
      </c>
      <c r="P113" t="s">
        <v>182</v>
      </c>
      <c r="Q113" s="1">
        <v>-19201080</v>
      </c>
      <c r="W113">
        <v>742</v>
      </c>
      <c r="X113">
        <v>6721</v>
      </c>
      <c r="Y113" s="8">
        <v>85893</v>
      </c>
      <c r="Z113" s="7">
        <f t="shared" ref="Z113:Z121" si="37">X113/Y113</f>
        <v>7.8248518505582523E-2</v>
      </c>
    </row>
    <row r="114" spans="1:31" x14ac:dyDescent="0.25">
      <c r="A114" t="s">
        <v>183</v>
      </c>
      <c r="B114" t="s">
        <v>178</v>
      </c>
      <c r="C114" t="s">
        <v>38</v>
      </c>
      <c r="D114" t="s">
        <v>3</v>
      </c>
      <c r="E114" s="2">
        <v>6.458333333333334E-2</v>
      </c>
      <c r="F114">
        <v>3583</v>
      </c>
      <c r="G114" t="s">
        <v>30</v>
      </c>
      <c r="H114" t="s">
        <v>31</v>
      </c>
      <c r="I114" s="1">
        <v>-738770</v>
      </c>
      <c r="J114">
        <v>7106</v>
      </c>
      <c r="K114" t="s">
        <v>28</v>
      </c>
      <c r="L114" t="s">
        <v>181</v>
      </c>
      <c r="M114" s="1">
        <v>-1920770</v>
      </c>
      <c r="N114">
        <v>0</v>
      </c>
      <c r="O114" t="s">
        <v>53</v>
      </c>
      <c r="P114" t="s">
        <v>182</v>
      </c>
      <c r="Q114" s="1">
        <v>-19201080</v>
      </c>
      <c r="W114">
        <v>0</v>
      </c>
      <c r="X114">
        <v>259</v>
      </c>
      <c r="Y114" s="8">
        <v>10948</v>
      </c>
      <c r="Z114" s="7">
        <f t="shared" si="37"/>
        <v>2.3657289002557546E-2</v>
      </c>
    </row>
    <row r="115" spans="1:31" x14ac:dyDescent="0.25">
      <c r="A115" t="s">
        <v>183</v>
      </c>
      <c r="B115" t="s">
        <v>178</v>
      </c>
      <c r="C115" t="s">
        <v>38</v>
      </c>
      <c r="D115" s="2">
        <v>6.458333333333334E-2</v>
      </c>
      <c r="E115" t="s">
        <v>4</v>
      </c>
      <c r="F115">
        <v>60906</v>
      </c>
      <c r="G115" t="s">
        <v>140</v>
      </c>
      <c r="H115" t="s">
        <v>31</v>
      </c>
      <c r="I115" s="1">
        <v>-800770</v>
      </c>
      <c r="J115">
        <v>57322</v>
      </c>
      <c r="K115" t="s">
        <v>28</v>
      </c>
      <c r="L115" t="s">
        <v>184</v>
      </c>
      <c r="M115" s="1">
        <v>-1920770</v>
      </c>
      <c r="N115">
        <v>19922</v>
      </c>
      <c r="O115" t="s">
        <v>53</v>
      </c>
      <c r="P115" t="s">
        <v>182</v>
      </c>
      <c r="Q115" s="1">
        <v>-19201080</v>
      </c>
      <c r="W115">
        <v>853</v>
      </c>
      <c r="X115">
        <v>16628</v>
      </c>
      <c r="Y115" s="8">
        <v>155631</v>
      </c>
      <c r="Z115" s="7">
        <f t="shared" si="37"/>
        <v>0.10684246711773361</v>
      </c>
    </row>
    <row r="116" spans="1:31" x14ac:dyDescent="0.25">
      <c r="A116" t="s">
        <v>185</v>
      </c>
      <c r="B116" t="s">
        <v>178</v>
      </c>
      <c r="C116" t="s">
        <v>47</v>
      </c>
      <c r="D116" t="s">
        <v>3</v>
      </c>
      <c r="E116" t="s">
        <v>4</v>
      </c>
      <c r="F116">
        <v>37491</v>
      </c>
      <c r="G116" t="s">
        <v>140</v>
      </c>
      <c r="H116" t="s">
        <v>31</v>
      </c>
      <c r="I116" s="1">
        <v>-855723</v>
      </c>
      <c r="J116">
        <v>36749</v>
      </c>
      <c r="K116" t="s">
        <v>28</v>
      </c>
      <c r="L116" t="s">
        <v>186</v>
      </c>
      <c r="M116" s="1">
        <v>-1920723</v>
      </c>
      <c r="N116">
        <v>16597</v>
      </c>
      <c r="O116" t="s">
        <v>53</v>
      </c>
      <c r="P116" t="s">
        <v>126</v>
      </c>
      <c r="Q116" s="1">
        <v>-19201080</v>
      </c>
      <c r="W116">
        <v>494</v>
      </c>
      <c r="X116">
        <v>5463</v>
      </c>
      <c r="Y116" s="8">
        <v>96794</v>
      </c>
      <c r="Z116" s="7">
        <f t="shared" si="37"/>
        <v>5.6439448726160711E-2</v>
      </c>
    </row>
    <row r="117" spans="1:31" x14ac:dyDescent="0.25">
      <c r="A117" t="s">
        <v>187</v>
      </c>
      <c r="B117" t="s">
        <v>178</v>
      </c>
      <c r="C117" t="s">
        <v>49</v>
      </c>
      <c r="D117" t="s">
        <v>3</v>
      </c>
      <c r="E117" s="2">
        <v>0.11597222222222221</v>
      </c>
      <c r="F117">
        <v>7468</v>
      </c>
      <c r="G117" t="s">
        <v>140</v>
      </c>
      <c r="H117" t="s">
        <v>31</v>
      </c>
      <c r="I117" s="1">
        <v>-800780</v>
      </c>
      <c r="J117">
        <v>8517</v>
      </c>
      <c r="K117" t="s">
        <v>28</v>
      </c>
      <c r="L117" t="s">
        <v>184</v>
      </c>
      <c r="M117" s="1">
        <v>-1920780</v>
      </c>
      <c r="N117">
        <v>2872</v>
      </c>
      <c r="O117" t="s">
        <v>53</v>
      </c>
      <c r="P117" t="s">
        <v>188</v>
      </c>
      <c r="Q117" s="1">
        <v>-19201080</v>
      </c>
      <c r="W117">
        <v>39</v>
      </c>
      <c r="X117">
        <v>1146</v>
      </c>
      <c r="Y117" s="8">
        <v>20042</v>
      </c>
      <c r="Z117" s="7">
        <f t="shared" si="37"/>
        <v>5.7179922163456742E-2</v>
      </c>
    </row>
    <row r="118" spans="1:31" x14ac:dyDescent="0.25">
      <c r="A118" t="s">
        <v>187</v>
      </c>
      <c r="B118" t="s">
        <v>178</v>
      </c>
      <c r="C118" t="s">
        <v>49</v>
      </c>
      <c r="D118" s="2">
        <v>0.11597222222222221</v>
      </c>
      <c r="E118" s="2">
        <v>0.50069444444444444</v>
      </c>
      <c r="F118">
        <v>48597</v>
      </c>
      <c r="G118" t="s">
        <v>140</v>
      </c>
      <c r="H118" t="s">
        <v>31</v>
      </c>
      <c r="I118" s="1">
        <v>-855780</v>
      </c>
      <c r="J118">
        <v>1670</v>
      </c>
      <c r="K118" t="s">
        <v>28</v>
      </c>
      <c r="L118" t="s">
        <v>186</v>
      </c>
      <c r="M118" s="1">
        <v>-1920780</v>
      </c>
      <c r="N118">
        <v>11831</v>
      </c>
      <c r="O118" t="s">
        <v>53</v>
      </c>
      <c r="P118" t="s">
        <v>188</v>
      </c>
      <c r="Q118" s="1">
        <v>-19201080</v>
      </c>
      <c r="W118">
        <v>447</v>
      </c>
      <c r="X118">
        <v>3933</v>
      </c>
      <c r="Y118" s="8">
        <v>66478</v>
      </c>
      <c r="Z118" s="7">
        <f t="shared" si="37"/>
        <v>5.9162429675983029E-2</v>
      </c>
    </row>
    <row r="119" spans="1:31" x14ac:dyDescent="0.25">
      <c r="A119" t="s">
        <v>187</v>
      </c>
      <c r="B119" t="s">
        <v>178</v>
      </c>
      <c r="C119" t="s">
        <v>49</v>
      </c>
      <c r="D119" s="2">
        <v>0.50069444444444444</v>
      </c>
      <c r="E119" s="2">
        <v>0.51597222222222217</v>
      </c>
      <c r="F119">
        <v>46</v>
      </c>
      <c r="G119" t="s">
        <v>140</v>
      </c>
      <c r="H119" t="s">
        <v>31</v>
      </c>
      <c r="I119" s="1">
        <v>-855660</v>
      </c>
      <c r="J119">
        <v>71</v>
      </c>
      <c r="K119" t="s">
        <v>28</v>
      </c>
      <c r="L119" t="s">
        <v>186</v>
      </c>
      <c r="M119" s="1">
        <v>-1920660</v>
      </c>
      <c r="N119">
        <v>2522</v>
      </c>
      <c r="O119" t="s">
        <v>53</v>
      </c>
      <c r="P119" t="s">
        <v>189</v>
      </c>
      <c r="Q119" s="1">
        <v>-19201080</v>
      </c>
      <c r="W119">
        <v>1</v>
      </c>
      <c r="X119">
        <v>0</v>
      </c>
      <c r="Y119" s="8">
        <v>2640</v>
      </c>
      <c r="Z119" s="7">
        <f t="shared" si="37"/>
        <v>0</v>
      </c>
    </row>
    <row r="120" spans="1:31" x14ac:dyDescent="0.25">
      <c r="A120" t="s">
        <v>187</v>
      </c>
      <c r="B120" t="s">
        <v>178</v>
      </c>
      <c r="C120" t="s">
        <v>49</v>
      </c>
      <c r="D120" s="2">
        <v>0.51597222222222217</v>
      </c>
      <c r="E120" t="s">
        <v>4</v>
      </c>
      <c r="F120">
        <v>10653</v>
      </c>
      <c r="G120" t="s">
        <v>140</v>
      </c>
      <c r="H120" t="s">
        <v>31</v>
      </c>
      <c r="I120" s="1">
        <v>-855890</v>
      </c>
      <c r="J120">
        <v>14872</v>
      </c>
      <c r="K120" t="s">
        <v>28</v>
      </c>
      <c r="L120" t="s">
        <v>186</v>
      </c>
      <c r="M120" s="1">
        <v>-1920890</v>
      </c>
      <c r="N120">
        <v>474</v>
      </c>
      <c r="O120" t="s">
        <v>53</v>
      </c>
      <c r="P120" t="s">
        <v>190</v>
      </c>
      <c r="Q120" s="1">
        <v>-19201080</v>
      </c>
      <c r="W120">
        <v>188</v>
      </c>
      <c r="X120">
        <v>3051</v>
      </c>
      <c r="Y120" s="8">
        <v>29238</v>
      </c>
      <c r="Z120" s="7">
        <f t="shared" si="37"/>
        <v>0.10435050277036734</v>
      </c>
    </row>
    <row r="121" spans="1:31" x14ac:dyDescent="0.25">
      <c r="A121" t="s">
        <v>191</v>
      </c>
      <c r="B121" t="s">
        <v>178</v>
      </c>
      <c r="C121" t="s">
        <v>82</v>
      </c>
      <c r="D121" t="s">
        <v>3</v>
      </c>
      <c r="E121" t="s">
        <v>4</v>
      </c>
      <c r="F121">
        <v>51800</v>
      </c>
      <c r="G121" t="s">
        <v>140</v>
      </c>
      <c r="H121" t="s">
        <v>31</v>
      </c>
      <c r="I121" s="1">
        <v>-855723</v>
      </c>
      <c r="J121">
        <v>28877</v>
      </c>
      <c r="K121" t="s">
        <v>28</v>
      </c>
      <c r="L121" t="s">
        <v>186</v>
      </c>
      <c r="M121" s="1">
        <v>-1920723</v>
      </c>
      <c r="N121">
        <v>791</v>
      </c>
      <c r="O121" t="s">
        <v>53</v>
      </c>
      <c r="P121" t="s">
        <v>126</v>
      </c>
      <c r="Q121" s="1">
        <v>-19201080</v>
      </c>
      <c r="W121">
        <v>342</v>
      </c>
      <c r="X121">
        <v>6409</v>
      </c>
      <c r="Y121" s="8">
        <v>88219</v>
      </c>
      <c r="Z121" s="7">
        <f t="shared" si="37"/>
        <v>7.2648749135673721E-2</v>
      </c>
      <c r="AC121">
        <v>0</v>
      </c>
      <c r="AD121" s="11">
        <f>SUM(N112:N121)</f>
        <v>83516</v>
      </c>
    </row>
    <row r="122" spans="1:31" s="6" customFormat="1" x14ac:dyDescent="0.25">
      <c r="W122" s="6">
        <f>SUM(W112:W121)/Y122</f>
        <v>5.6801896870684486E-3</v>
      </c>
      <c r="X122" s="6">
        <f>SUM(X112:X121)/Y122</f>
        <v>7.7646629667265959E-2</v>
      </c>
      <c r="Y122" s="9">
        <f t="shared" ref="X122:Y122" si="38">SUM(Y112:Y121)</f>
        <v>575685</v>
      </c>
      <c r="AA122" s="16" t="s">
        <v>272</v>
      </c>
      <c r="AB122" s="14" t="s">
        <v>272</v>
      </c>
      <c r="AC122" s="6">
        <v>0</v>
      </c>
      <c r="AD122" s="12">
        <f>AD121/Y122</f>
        <v>0.14507239201994146</v>
      </c>
      <c r="AE122" s="6">
        <f>SUM(W122:X122,AC122)</f>
        <v>8.3326819354334405E-2</v>
      </c>
    </row>
    <row r="123" spans="1:31" x14ac:dyDescent="0.25">
      <c r="I123" s="1"/>
      <c r="M123" s="1"/>
      <c r="Q123" s="1"/>
    </row>
    <row r="124" spans="1:31" x14ac:dyDescent="0.25">
      <c r="A124" t="s">
        <v>192</v>
      </c>
      <c r="B124" t="s">
        <v>193</v>
      </c>
      <c r="C124" t="s">
        <v>27</v>
      </c>
      <c r="D124" t="s">
        <v>3</v>
      </c>
      <c r="E124" t="s">
        <v>4</v>
      </c>
      <c r="F124">
        <v>0</v>
      </c>
      <c r="G124" t="s">
        <v>30</v>
      </c>
      <c r="H124" t="s">
        <v>31</v>
      </c>
      <c r="I124" s="1">
        <v>-300870</v>
      </c>
      <c r="J124">
        <v>130</v>
      </c>
      <c r="K124" t="s">
        <v>28</v>
      </c>
      <c r="L124" t="s">
        <v>164</v>
      </c>
      <c r="M124" s="1">
        <v>-1920870</v>
      </c>
      <c r="N124">
        <v>0</v>
      </c>
      <c r="O124" t="s">
        <v>53</v>
      </c>
      <c r="P124" t="s">
        <v>194</v>
      </c>
      <c r="Q124" s="1">
        <v>-19201080</v>
      </c>
      <c r="W124">
        <v>0</v>
      </c>
      <c r="X124">
        <v>16</v>
      </c>
      <c r="Y124" s="8">
        <v>146</v>
      </c>
      <c r="Z124" s="7">
        <f>X124/Y124</f>
        <v>0.1095890410958904</v>
      </c>
    </row>
    <row r="125" spans="1:31" x14ac:dyDescent="0.25">
      <c r="A125" t="s">
        <v>195</v>
      </c>
      <c r="B125" t="s">
        <v>193</v>
      </c>
      <c r="C125" t="s">
        <v>27</v>
      </c>
      <c r="D125" t="s">
        <v>3</v>
      </c>
      <c r="E125" s="2">
        <v>4.1666666666666666E-3</v>
      </c>
      <c r="F125">
        <v>7</v>
      </c>
      <c r="G125" t="s">
        <v>30</v>
      </c>
      <c r="H125" t="s">
        <v>31</v>
      </c>
      <c r="I125" s="1">
        <v>-300870</v>
      </c>
      <c r="J125">
        <v>635</v>
      </c>
      <c r="K125" t="s">
        <v>28</v>
      </c>
      <c r="L125" t="s">
        <v>164</v>
      </c>
      <c r="M125" s="1">
        <v>-1920870</v>
      </c>
      <c r="N125">
        <v>64</v>
      </c>
      <c r="O125" t="s">
        <v>53</v>
      </c>
      <c r="P125" t="s">
        <v>194</v>
      </c>
      <c r="Q125" s="1">
        <v>-19201080</v>
      </c>
      <c r="W125">
        <v>0</v>
      </c>
      <c r="X125">
        <v>16</v>
      </c>
      <c r="Y125" s="8">
        <v>722</v>
      </c>
      <c r="Z125" s="7">
        <f t="shared" ref="Z125:Z141" si="39">X125/Y125</f>
        <v>2.2160664819944598E-2</v>
      </c>
    </row>
    <row r="126" spans="1:31" x14ac:dyDescent="0.25">
      <c r="A126" t="s">
        <v>195</v>
      </c>
      <c r="B126" t="s">
        <v>193</v>
      </c>
      <c r="C126" t="s">
        <v>27</v>
      </c>
      <c r="D126" s="2">
        <v>4.1666666666666666E-3</v>
      </c>
      <c r="E126" t="s">
        <v>4</v>
      </c>
      <c r="F126">
        <v>3721</v>
      </c>
      <c r="G126" t="s">
        <v>30</v>
      </c>
      <c r="H126" t="s">
        <v>31</v>
      </c>
      <c r="I126" s="1">
        <v>-300870</v>
      </c>
      <c r="J126">
        <v>3730</v>
      </c>
      <c r="K126" t="s">
        <v>28</v>
      </c>
      <c r="L126" t="s">
        <v>164</v>
      </c>
      <c r="M126" s="1">
        <v>-1100870</v>
      </c>
      <c r="N126">
        <v>838</v>
      </c>
      <c r="O126" t="s">
        <v>86</v>
      </c>
      <c r="P126" t="s">
        <v>161</v>
      </c>
      <c r="Q126" s="1">
        <v>-1920870</v>
      </c>
      <c r="R126">
        <v>153</v>
      </c>
      <c r="S126" t="s">
        <v>53</v>
      </c>
      <c r="T126" t="s">
        <v>194</v>
      </c>
      <c r="U126" s="1">
        <v>-19201080</v>
      </c>
      <c r="W126">
        <v>347</v>
      </c>
      <c r="X126">
        <v>482</v>
      </c>
      <c r="Y126" s="8">
        <v>9271</v>
      </c>
      <c r="Z126" s="7">
        <f t="shared" si="39"/>
        <v>5.199007658289289E-2</v>
      </c>
    </row>
    <row r="127" spans="1:31" x14ac:dyDescent="0.25">
      <c r="A127" t="s">
        <v>196</v>
      </c>
      <c r="B127" t="s">
        <v>193</v>
      </c>
      <c r="C127" t="s">
        <v>27</v>
      </c>
      <c r="D127" t="s">
        <v>3</v>
      </c>
      <c r="E127" s="2">
        <v>2.4999999999999998E-2</v>
      </c>
      <c r="F127">
        <v>109</v>
      </c>
      <c r="G127" t="s">
        <v>30</v>
      </c>
      <c r="H127" t="s">
        <v>31</v>
      </c>
      <c r="I127" s="1">
        <v>-300870</v>
      </c>
      <c r="J127">
        <v>1378</v>
      </c>
      <c r="K127" t="s">
        <v>28</v>
      </c>
      <c r="L127" t="s">
        <v>164</v>
      </c>
      <c r="M127" s="1">
        <v>-1100870</v>
      </c>
      <c r="N127">
        <v>2738</v>
      </c>
      <c r="O127" t="s">
        <v>86</v>
      </c>
      <c r="P127" t="s">
        <v>161</v>
      </c>
      <c r="Q127" s="1">
        <v>-1920870</v>
      </c>
      <c r="R127">
        <v>65</v>
      </c>
      <c r="S127" t="s">
        <v>53</v>
      </c>
      <c r="T127" t="s">
        <v>194</v>
      </c>
      <c r="U127" s="1">
        <v>-19201080</v>
      </c>
      <c r="W127">
        <v>2</v>
      </c>
      <c r="X127">
        <v>30</v>
      </c>
      <c r="Y127" s="8">
        <v>4322</v>
      </c>
      <c r="Z127" s="7">
        <f t="shared" si="39"/>
        <v>6.9412309116149932E-3</v>
      </c>
    </row>
    <row r="128" spans="1:31" x14ac:dyDescent="0.25">
      <c r="A128" t="s">
        <v>196</v>
      </c>
      <c r="B128" t="s">
        <v>193</v>
      </c>
      <c r="C128" t="s">
        <v>27</v>
      </c>
      <c r="D128" s="2">
        <v>2.4999999999999998E-2</v>
      </c>
      <c r="E128" t="s">
        <v>4</v>
      </c>
      <c r="F128">
        <v>551</v>
      </c>
      <c r="G128" t="s">
        <v>30</v>
      </c>
      <c r="H128" t="s">
        <v>31</v>
      </c>
      <c r="I128" s="1">
        <v>-300870</v>
      </c>
      <c r="J128">
        <v>21779</v>
      </c>
      <c r="K128" t="s">
        <v>28</v>
      </c>
      <c r="L128" t="s">
        <v>164</v>
      </c>
      <c r="M128" s="1">
        <v>-1035870</v>
      </c>
      <c r="N128">
        <v>43072</v>
      </c>
      <c r="O128" t="s">
        <v>86</v>
      </c>
      <c r="P128" t="s">
        <v>197</v>
      </c>
      <c r="Q128" s="1">
        <v>-1920870</v>
      </c>
      <c r="R128">
        <v>159</v>
      </c>
      <c r="S128" t="s">
        <v>53</v>
      </c>
      <c r="T128" t="s">
        <v>194</v>
      </c>
      <c r="U128" s="1">
        <v>-19201080</v>
      </c>
      <c r="W128">
        <v>333</v>
      </c>
      <c r="X128">
        <v>2236</v>
      </c>
      <c r="Y128" s="8">
        <v>68130</v>
      </c>
      <c r="Z128" s="7">
        <f t="shared" si="39"/>
        <v>3.2819609569939824E-2</v>
      </c>
    </row>
    <row r="129" spans="1:31" x14ac:dyDescent="0.25">
      <c r="A129" t="s">
        <v>198</v>
      </c>
      <c r="B129" t="s">
        <v>193</v>
      </c>
      <c r="C129" t="s">
        <v>27</v>
      </c>
      <c r="D129" t="s">
        <v>3</v>
      </c>
      <c r="E129" t="s">
        <v>4</v>
      </c>
      <c r="F129">
        <v>654</v>
      </c>
      <c r="G129" t="s">
        <v>30</v>
      </c>
      <c r="H129" t="s">
        <v>31</v>
      </c>
      <c r="I129" s="1">
        <v>-300870</v>
      </c>
      <c r="J129">
        <v>6416</v>
      </c>
      <c r="K129" t="s">
        <v>28</v>
      </c>
      <c r="L129" t="s">
        <v>164</v>
      </c>
      <c r="M129" s="1">
        <v>-1035870</v>
      </c>
      <c r="N129">
        <v>368</v>
      </c>
      <c r="O129" t="s">
        <v>86</v>
      </c>
      <c r="P129" t="s">
        <v>197</v>
      </c>
      <c r="Q129" s="1">
        <v>-1920870</v>
      </c>
      <c r="R129">
        <v>244</v>
      </c>
      <c r="S129" t="s">
        <v>53</v>
      </c>
      <c r="T129" t="s">
        <v>194</v>
      </c>
      <c r="U129" s="1">
        <v>-19201080</v>
      </c>
      <c r="W129">
        <v>22</v>
      </c>
      <c r="X129">
        <v>1048</v>
      </c>
      <c r="Y129" s="8">
        <v>8752</v>
      </c>
      <c r="Z129" s="7">
        <f t="shared" si="39"/>
        <v>0.11974405850091407</v>
      </c>
    </row>
    <row r="130" spans="1:31" x14ac:dyDescent="0.25">
      <c r="A130" t="s">
        <v>199</v>
      </c>
      <c r="B130" t="s">
        <v>193</v>
      </c>
      <c r="C130" t="s">
        <v>38</v>
      </c>
      <c r="D130" t="s">
        <v>3</v>
      </c>
      <c r="E130" s="2">
        <v>0.13541666666666666</v>
      </c>
      <c r="F130">
        <v>1780</v>
      </c>
      <c r="G130" t="s">
        <v>30</v>
      </c>
      <c r="H130" t="s">
        <v>31</v>
      </c>
      <c r="I130" s="1">
        <v>-300870</v>
      </c>
      <c r="J130">
        <v>6893</v>
      </c>
      <c r="K130" t="s">
        <v>28</v>
      </c>
      <c r="L130" t="s">
        <v>164</v>
      </c>
      <c r="M130" s="1">
        <v>-1100870</v>
      </c>
      <c r="N130">
        <v>12948</v>
      </c>
      <c r="O130" t="s">
        <v>86</v>
      </c>
      <c r="P130" t="s">
        <v>161</v>
      </c>
      <c r="Q130" s="1">
        <v>-1920870</v>
      </c>
      <c r="R130">
        <v>1192</v>
      </c>
      <c r="S130" t="s">
        <v>53</v>
      </c>
      <c r="T130" t="s">
        <v>194</v>
      </c>
      <c r="U130" s="1">
        <v>-19201080</v>
      </c>
      <c r="W130">
        <v>26</v>
      </c>
      <c r="X130">
        <v>563</v>
      </c>
      <c r="Y130" s="8">
        <v>23402</v>
      </c>
      <c r="Z130" s="7">
        <f t="shared" si="39"/>
        <v>2.4057772839928212E-2</v>
      </c>
    </row>
    <row r="131" spans="1:31" x14ac:dyDescent="0.25">
      <c r="A131" t="s">
        <v>199</v>
      </c>
      <c r="B131" t="s">
        <v>193</v>
      </c>
      <c r="C131" t="s">
        <v>38</v>
      </c>
      <c r="D131" s="2">
        <v>0.13541666666666666</v>
      </c>
      <c r="E131" t="s">
        <v>4</v>
      </c>
      <c r="F131">
        <v>930</v>
      </c>
      <c r="G131" t="s">
        <v>30</v>
      </c>
      <c r="H131" t="s">
        <v>31</v>
      </c>
      <c r="I131" s="1">
        <v>-300735</v>
      </c>
      <c r="J131">
        <v>16745</v>
      </c>
      <c r="K131" t="s">
        <v>28</v>
      </c>
      <c r="L131" t="s">
        <v>164</v>
      </c>
      <c r="M131" s="1">
        <v>-1100735</v>
      </c>
      <c r="N131">
        <v>61286</v>
      </c>
      <c r="O131" t="s">
        <v>86</v>
      </c>
      <c r="P131" t="s">
        <v>161</v>
      </c>
      <c r="Q131" s="1">
        <v>-1920735</v>
      </c>
      <c r="R131">
        <v>13295</v>
      </c>
      <c r="S131" t="s">
        <v>53</v>
      </c>
      <c r="T131" t="s">
        <v>200</v>
      </c>
      <c r="U131" s="1">
        <v>-19201080</v>
      </c>
      <c r="W131">
        <v>485</v>
      </c>
      <c r="X131">
        <v>2497</v>
      </c>
      <c r="Y131" s="8">
        <v>95238</v>
      </c>
      <c r="Z131" s="7">
        <f t="shared" si="39"/>
        <v>2.6218526218526217E-2</v>
      </c>
    </row>
    <row r="132" spans="1:31" x14ac:dyDescent="0.25">
      <c r="A132" t="s">
        <v>201</v>
      </c>
      <c r="B132" t="s">
        <v>193</v>
      </c>
      <c r="C132" t="s">
        <v>38</v>
      </c>
      <c r="D132" t="s">
        <v>3</v>
      </c>
      <c r="E132" t="s">
        <v>4</v>
      </c>
      <c r="F132">
        <v>94</v>
      </c>
      <c r="G132" t="s">
        <v>30</v>
      </c>
      <c r="H132" t="s">
        <v>31</v>
      </c>
      <c r="I132" s="1">
        <v>-300735</v>
      </c>
      <c r="J132">
        <v>695</v>
      </c>
      <c r="K132" t="s">
        <v>28</v>
      </c>
      <c r="L132" t="s">
        <v>164</v>
      </c>
      <c r="M132" s="1">
        <v>-1100735</v>
      </c>
      <c r="N132">
        <v>957</v>
      </c>
      <c r="O132" t="s">
        <v>86</v>
      </c>
      <c r="P132" t="s">
        <v>161</v>
      </c>
      <c r="Q132" s="1">
        <v>-1920735</v>
      </c>
      <c r="R132">
        <v>651</v>
      </c>
      <c r="S132" t="s">
        <v>202</v>
      </c>
      <c r="T132" t="s">
        <v>200</v>
      </c>
      <c r="U132" s="1">
        <v>-19201080</v>
      </c>
      <c r="W132">
        <v>44</v>
      </c>
      <c r="X132">
        <v>170</v>
      </c>
      <c r="Y132" s="8">
        <v>2611</v>
      </c>
      <c r="Z132" s="7">
        <f t="shared" si="39"/>
        <v>6.5109153581003443E-2</v>
      </c>
    </row>
    <row r="133" spans="1:31" x14ac:dyDescent="0.25">
      <c r="A133" t="s">
        <v>203</v>
      </c>
      <c r="B133" t="s">
        <v>193</v>
      </c>
      <c r="C133" t="s">
        <v>38</v>
      </c>
      <c r="D133" t="s">
        <v>3</v>
      </c>
      <c r="E133" t="s">
        <v>4</v>
      </c>
      <c r="F133">
        <v>457</v>
      </c>
      <c r="G133" t="s">
        <v>30</v>
      </c>
      <c r="H133" t="s">
        <v>31</v>
      </c>
      <c r="I133" s="1">
        <v>-300735</v>
      </c>
      <c r="J133">
        <v>12627</v>
      </c>
      <c r="K133" t="s">
        <v>28</v>
      </c>
      <c r="L133" t="s">
        <v>164</v>
      </c>
      <c r="M133" s="1">
        <v>-1100735</v>
      </c>
      <c r="N133">
        <v>2180</v>
      </c>
      <c r="O133" t="s">
        <v>86</v>
      </c>
      <c r="P133" t="s">
        <v>161</v>
      </c>
      <c r="Q133" s="1">
        <v>-1920735</v>
      </c>
      <c r="R133">
        <v>6118</v>
      </c>
      <c r="S133" t="s">
        <v>202</v>
      </c>
      <c r="T133" t="s">
        <v>200</v>
      </c>
      <c r="U133" s="1">
        <v>-19201080</v>
      </c>
      <c r="W133">
        <v>94</v>
      </c>
      <c r="X133">
        <v>1942</v>
      </c>
      <c r="Y133" s="8">
        <v>23418</v>
      </c>
      <c r="Z133" s="7">
        <f t="shared" si="39"/>
        <v>8.2927662481851572E-2</v>
      </c>
    </row>
    <row r="134" spans="1:31" x14ac:dyDescent="0.25">
      <c r="A134" t="s">
        <v>204</v>
      </c>
      <c r="B134" t="s">
        <v>193</v>
      </c>
      <c r="C134" t="s">
        <v>68</v>
      </c>
      <c r="D134" t="s">
        <v>3</v>
      </c>
      <c r="E134" t="s">
        <v>4</v>
      </c>
      <c r="F134">
        <v>12704</v>
      </c>
      <c r="G134" t="s">
        <v>30</v>
      </c>
      <c r="H134" t="s">
        <v>31</v>
      </c>
      <c r="I134" s="1">
        <v>-300728</v>
      </c>
      <c r="J134">
        <v>124029</v>
      </c>
      <c r="K134" t="s">
        <v>28</v>
      </c>
      <c r="L134" t="s">
        <v>164</v>
      </c>
      <c r="M134" s="1">
        <v>-1920728</v>
      </c>
      <c r="N134">
        <v>3234</v>
      </c>
      <c r="O134" t="s">
        <v>53</v>
      </c>
      <c r="P134" t="s">
        <v>205</v>
      </c>
      <c r="Q134" s="1">
        <v>-19201080</v>
      </c>
      <c r="W134">
        <v>172</v>
      </c>
      <c r="X134">
        <v>5410</v>
      </c>
      <c r="Y134" s="8">
        <v>145549</v>
      </c>
      <c r="Z134" s="7">
        <f t="shared" si="39"/>
        <v>3.7169612982569447E-2</v>
      </c>
    </row>
    <row r="135" spans="1:31" x14ac:dyDescent="0.25">
      <c r="A135" t="s">
        <v>206</v>
      </c>
      <c r="B135" t="s">
        <v>193</v>
      </c>
      <c r="C135" t="s">
        <v>47</v>
      </c>
      <c r="D135" t="s">
        <v>3</v>
      </c>
      <c r="E135" s="2">
        <v>6.1805555555555558E-2</v>
      </c>
      <c r="F135">
        <v>23</v>
      </c>
      <c r="G135" t="s">
        <v>30</v>
      </c>
      <c r="H135" t="s">
        <v>31</v>
      </c>
      <c r="I135" s="1">
        <v>-300728</v>
      </c>
      <c r="J135">
        <v>9095</v>
      </c>
      <c r="K135" t="s">
        <v>28</v>
      </c>
      <c r="L135" t="s">
        <v>164</v>
      </c>
      <c r="M135" s="1">
        <v>-1920728</v>
      </c>
      <c r="N135">
        <v>20</v>
      </c>
      <c r="O135" t="s">
        <v>32</v>
      </c>
      <c r="P135" t="s">
        <v>205</v>
      </c>
      <c r="Q135" s="1">
        <v>-19201080</v>
      </c>
      <c r="W135">
        <v>11</v>
      </c>
      <c r="X135">
        <v>218</v>
      </c>
      <c r="Y135" s="8">
        <v>9367</v>
      </c>
      <c r="Z135" s="7">
        <f t="shared" si="39"/>
        <v>2.3273193124799828E-2</v>
      </c>
    </row>
    <row r="136" spans="1:31" x14ac:dyDescent="0.25">
      <c r="A136" t="s">
        <v>206</v>
      </c>
      <c r="B136" t="s">
        <v>193</v>
      </c>
      <c r="C136" t="s">
        <v>47</v>
      </c>
      <c r="D136" s="2">
        <v>6.1805555555555558E-2</v>
      </c>
      <c r="E136" t="s">
        <v>4</v>
      </c>
      <c r="F136">
        <v>78</v>
      </c>
      <c r="G136" t="s">
        <v>30</v>
      </c>
      <c r="H136" t="s">
        <v>31</v>
      </c>
      <c r="I136" s="1">
        <v>-300728</v>
      </c>
      <c r="J136">
        <v>302</v>
      </c>
      <c r="K136" t="s">
        <v>28</v>
      </c>
      <c r="L136" t="s">
        <v>164</v>
      </c>
      <c r="M136" s="1">
        <v>-1100728</v>
      </c>
      <c r="N136">
        <v>0</v>
      </c>
      <c r="O136" t="s">
        <v>86</v>
      </c>
      <c r="P136" t="s">
        <v>207</v>
      </c>
      <c r="Q136" s="1">
        <v>-1920728</v>
      </c>
      <c r="R136">
        <v>509</v>
      </c>
      <c r="S136" t="s">
        <v>202</v>
      </c>
      <c r="T136" t="s">
        <v>205</v>
      </c>
      <c r="U136" s="1">
        <v>-19201080</v>
      </c>
      <c r="W136">
        <v>326</v>
      </c>
      <c r="X136">
        <v>149</v>
      </c>
      <c r="Y136" s="8">
        <v>1364</v>
      </c>
      <c r="Z136" s="7">
        <f t="shared" si="39"/>
        <v>0.1092375366568915</v>
      </c>
    </row>
    <row r="137" spans="1:31" x14ac:dyDescent="0.25">
      <c r="A137" t="s">
        <v>208</v>
      </c>
      <c r="B137" t="s">
        <v>193</v>
      </c>
      <c r="C137" t="s">
        <v>47</v>
      </c>
      <c r="D137" t="s">
        <v>3</v>
      </c>
      <c r="E137" t="s">
        <v>4</v>
      </c>
      <c r="F137">
        <v>3163</v>
      </c>
      <c r="G137" t="s">
        <v>30</v>
      </c>
      <c r="H137" t="s">
        <v>31</v>
      </c>
      <c r="I137" s="1">
        <v>-300728</v>
      </c>
      <c r="J137">
        <v>9770</v>
      </c>
      <c r="K137" t="s">
        <v>28</v>
      </c>
      <c r="L137" t="s">
        <v>164</v>
      </c>
      <c r="M137" s="1">
        <v>-1100728</v>
      </c>
      <c r="N137">
        <v>0</v>
      </c>
      <c r="O137" t="s">
        <v>86</v>
      </c>
      <c r="P137" t="s">
        <v>207</v>
      </c>
      <c r="Q137" s="1">
        <v>-1920728</v>
      </c>
      <c r="R137">
        <v>13406</v>
      </c>
      <c r="S137" t="s">
        <v>202</v>
      </c>
      <c r="T137" t="s">
        <v>205</v>
      </c>
      <c r="U137" s="1">
        <v>-19201080</v>
      </c>
      <c r="W137">
        <v>18670</v>
      </c>
      <c r="X137">
        <v>1000</v>
      </c>
      <c r="Y137" s="8">
        <v>46009</v>
      </c>
      <c r="Z137" s="7">
        <f t="shared" si="39"/>
        <v>2.1734877958660262E-2</v>
      </c>
    </row>
    <row r="138" spans="1:31" x14ac:dyDescent="0.25">
      <c r="A138" t="s">
        <v>209</v>
      </c>
      <c r="B138" t="s">
        <v>193</v>
      </c>
      <c r="C138" t="s">
        <v>47</v>
      </c>
      <c r="D138" t="s">
        <v>3</v>
      </c>
      <c r="E138" t="s">
        <v>4</v>
      </c>
      <c r="F138">
        <v>175</v>
      </c>
      <c r="G138" t="s">
        <v>30</v>
      </c>
      <c r="H138" t="s">
        <v>31</v>
      </c>
      <c r="I138" s="1">
        <v>-300728</v>
      </c>
      <c r="J138">
        <v>26406</v>
      </c>
      <c r="K138" t="s">
        <v>28</v>
      </c>
      <c r="L138" t="s">
        <v>164</v>
      </c>
      <c r="M138" s="1">
        <v>-1100728</v>
      </c>
      <c r="N138">
        <v>1</v>
      </c>
      <c r="O138" t="s">
        <v>86</v>
      </c>
      <c r="P138" t="s">
        <v>207</v>
      </c>
      <c r="Q138" s="1">
        <v>-1920728</v>
      </c>
      <c r="R138">
        <v>676</v>
      </c>
      <c r="S138" t="s">
        <v>202</v>
      </c>
      <c r="T138" t="s">
        <v>205</v>
      </c>
      <c r="U138" s="1">
        <v>-19201080</v>
      </c>
      <c r="W138">
        <v>19818</v>
      </c>
      <c r="X138">
        <v>2161</v>
      </c>
      <c r="Y138" s="8">
        <v>49237</v>
      </c>
      <c r="Z138" s="7">
        <f t="shared" si="39"/>
        <v>4.388975770254077E-2</v>
      </c>
    </row>
    <row r="139" spans="1:31" x14ac:dyDescent="0.25">
      <c r="A139" t="s">
        <v>210</v>
      </c>
      <c r="B139" t="s">
        <v>193</v>
      </c>
      <c r="C139" t="s">
        <v>49</v>
      </c>
      <c r="D139" t="s">
        <v>3</v>
      </c>
      <c r="E139" t="s">
        <v>4</v>
      </c>
      <c r="F139">
        <v>2298</v>
      </c>
      <c r="G139" t="s">
        <v>30</v>
      </c>
      <c r="H139" t="s">
        <v>31</v>
      </c>
      <c r="I139" s="1">
        <v>-300728</v>
      </c>
      <c r="J139">
        <v>10230</v>
      </c>
      <c r="K139" t="s">
        <v>28</v>
      </c>
      <c r="L139" t="s">
        <v>164</v>
      </c>
      <c r="M139" s="1">
        <v>-840728</v>
      </c>
      <c r="N139">
        <v>0</v>
      </c>
      <c r="O139" t="s">
        <v>86</v>
      </c>
      <c r="P139" s="1">
        <v>-840728</v>
      </c>
      <c r="Q139" s="1">
        <v>-1920728</v>
      </c>
      <c r="R139">
        <v>2645</v>
      </c>
      <c r="S139" t="s">
        <v>211</v>
      </c>
      <c r="T139" t="s">
        <v>205</v>
      </c>
      <c r="U139" s="1">
        <v>-19201080</v>
      </c>
      <c r="W139">
        <v>30339</v>
      </c>
      <c r="X139">
        <v>1589</v>
      </c>
      <c r="Y139" s="8">
        <v>47101</v>
      </c>
      <c r="Z139" s="7">
        <f t="shared" si="39"/>
        <v>3.3736014097365236E-2</v>
      </c>
    </row>
    <row r="140" spans="1:31" x14ac:dyDescent="0.25">
      <c r="A140" t="s">
        <v>212</v>
      </c>
      <c r="B140" t="s">
        <v>193</v>
      </c>
      <c r="C140" t="s">
        <v>82</v>
      </c>
      <c r="D140" t="s">
        <v>3</v>
      </c>
      <c r="E140" t="s">
        <v>4</v>
      </c>
      <c r="F140">
        <v>67</v>
      </c>
      <c r="G140" t="s">
        <v>30</v>
      </c>
      <c r="H140" t="s">
        <v>31</v>
      </c>
      <c r="I140" s="1">
        <v>-300728</v>
      </c>
      <c r="J140">
        <v>3608</v>
      </c>
      <c r="K140" t="s">
        <v>28</v>
      </c>
      <c r="L140" t="s">
        <v>164</v>
      </c>
      <c r="M140" s="1">
        <v>-1920728</v>
      </c>
      <c r="N140">
        <v>163</v>
      </c>
      <c r="O140" t="s">
        <v>32</v>
      </c>
      <c r="P140" t="s">
        <v>205</v>
      </c>
      <c r="Q140" s="1">
        <v>-19201080</v>
      </c>
      <c r="W140">
        <v>16</v>
      </c>
      <c r="X140">
        <v>192</v>
      </c>
      <c r="Y140" s="8">
        <v>4046</v>
      </c>
      <c r="Z140" s="7">
        <f t="shared" si="39"/>
        <v>4.7454275827978253E-2</v>
      </c>
    </row>
    <row r="141" spans="1:31" x14ac:dyDescent="0.25">
      <c r="A141" t="s">
        <v>213</v>
      </c>
      <c r="B141" t="s">
        <v>193</v>
      </c>
      <c r="C141" t="s">
        <v>82</v>
      </c>
      <c r="D141" t="s">
        <v>3</v>
      </c>
      <c r="E141" t="s">
        <v>4</v>
      </c>
      <c r="F141">
        <v>1261</v>
      </c>
      <c r="G141" t="s">
        <v>30</v>
      </c>
      <c r="H141" t="s">
        <v>31</v>
      </c>
      <c r="I141" s="1">
        <v>-300728</v>
      </c>
      <c r="J141">
        <v>89721</v>
      </c>
      <c r="K141" t="s">
        <v>28</v>
      </c>
      <c r="L141" t="s">
        <v>164</v>
      </c>
      <c r="M141" s="1">
        <v>-1920728</v>
      </c>
      <c r="N141">
        <v>857</v>
      </c>
      <c r="O141" t="s">
        <v>32</v>
      </c>
      <c r="P141" t="s">
        <v>205</v>
      </c>
      <c r="Q141" s="1">
        <v>-19201080</v>
      </c>
      <c r="W141">
        <v>582</v>
      </c>
      <c r="X141">
        <v>4873</v>
      </c>
      <c r="Y141" s="8">
        <v>97294</v>
      </c>
      <c r="Z141" s="7">
        <f t="shared" si="39"/>
        <v>5.0085308446564024E-2</v>
      </c>
      <c r="AA141" s="15">
        <f>SUM(F124:F141)</f>
        <v>28072</v>
      </c>
    </row>
    <row r="142" spans="1:31" s="6" customFormat="1" x14ac:dyDescent="0.25">
      <c r="W142" s="6">
        <f>SUM(W124:W141)/Y142</f>
        <v>0.11209017907824001</v>
      </c>
      <c r="X142" s="6">
        <f>SUM(X124:X141)/Y142</f>
        <v>3.8667943438383971E-2</v>
      </c>
      <c r="Y142" s="9">
        <f t="shared" ref="X142:Y142" si="40">SUM(Y124:Y141)</f>
        <v>635979</v>
      </c>
      <c r="AA142" s="16">
        <f>AA141/Y142</f>
        <v>4.4139822226834532E-2</v>
      </c>
      <c r="AB142" s="14" t="s">
        <v>272</v>
      </c>
      <c r="AC142" s="6">
        <v>0</v>
      </c>
      <c r="AD142" s="12" t="s">
        <v>272</v>
      </c>
      <c r="AE142" s="6">
        <f>SUM(W142:X142,AC142)</f>
        <v>0.15075812251662399</v>
      </c>
    </row>
    <row r="143" spans="1:31" x14ac:dyDescent="0.25">
      <c r="I143" s="1"/>
      <c r="M143" s="1"/>
      <c r="Q143" s="1"/>
    </row>
    <row r="144" spans="1:31" x14ac:dyDescent="0.25">
      <c r="A144" t="s">
        <v>214</v>
      </c>
      <c r="B144" t="s">
        <v>215</v>
      </c>
      <c r="C144" t="s">
        <v>27</v>
      </c>
      <c r="D144" t="s">
        <v>3</v>
      </c>
      <c r="E144" s="2">
        <v>7.6388888888888895E-2</v>
      </c>
      <c r="F144">
        <v>7189</v>
      </c>
      <c r="G144" t="s">
        <v>30</v>
      </c>
      <c r="H144" t="s">
        <v>31</v>
      </c>
      <c r="I144" s="1">
        <v>-305735</v>
      </c>
      <c r="J144">
        <v>5956</v>
      </c>
      <c r="K144" t="s">
        <v>28</v>
      </c>
      <c r="L144" t="s">
        <v>216</v>
      </c>
      <c r="M144" s="1">
        <v>-1920735</v>
      </c>
      <c r="N144">
        <v>23</v>
      </c>
      <c r="O144" t="s">
        <v>53</v>
      </c>
      <c r="P144" t="s">
        <v>200</v>
      </c>
      <c r="Q144" s="1">
        <v>-19201080</v>
      </c>
      <c r="W144">
        <v>0</v>
      </c>
      <c r="X144">
        <v>34</v>
      </c>
      <c r="Y144" s="8">
        <v>13202</v>
      </c>
      <c r="Z144" s="7">
        <f>X144/Y144</f>
        <v>2.575367368580518E-3</v>
      </c>
    </row>
    <row r="145" spans="1:31" x14ac:dyDescent="0.25">
      <c r="A145" t="s">
        <v>214</v>
      </c>
      <c r="B145" t="s">
        <v>215</v>
      </c>
      <c r="C145" t="s">
        <v>27</v>
      </c>
      <c r="D145" s="2">
        <v>7.6388888888888895E-2</v>
      </c>
      <c r="E145" s="2">
        <v>0.22013888888888888</v>
      </c>
      <c r="F145">
        <v>11743</v>
      </c>
      <c r="G145" t="s">
        <v>30</v>
      </c>
      <c r="H145" t="s">
        <v>31</v>
      </c>
      <c r="I145" s="1">
        <v>-305735</v>
      </c>
      <c r="J145">
        <v>4994</v>
      </c>
      <c r="K145" t="s">
        <v>86</v>
      </c>
      <c r="L145" t="s">
        <v>216</v>
      </c>
      <c r="M145" s="1">
        <v>-950735</v>
      </c>
      <c r="N145">
        <v>4954</v>
      </c>
      <c r="O145" t="s">
        <v>28</v>
      </c>
      <c r="P145" t="s">
        <v>217</v>
      </c>
      <c r="Q145" s="1">
        <v>-1920735</v>
      </c>
      <c r="R145">
        <v>2224</v>
      </c>
      <c r="S145" t="s">
        <v>53</v>
      </c>
      <c r="T145" t="s">
        <v>200</v>
      </c>
      <c r="U145" s="1">
        <v>-19201080</v>
      </c>
      <c r="W145">
        <v>129</v>
      </c>
      <c r="X145">
        <v>795</v>
      </c>
      <c r="Y145" s="8">
        <v>24839</v>
      </c>
      <c r="Z145" s="7">
        <f t="shared" ref="Z145:Z151" si="41">X145/Y145</f>
        <v>3.2006119408993922E-2</v>
      </c>
    </row>
    <row r="146" spans="1:31" x14ac:dyDescent="0.25">
      <c r="A146" t="s">
        <v>214</v>
      </c>
      <c r="B146" t="s">
        <v>215</v>
      </c>
      <c r="C146" t="s">
        <v>27</v>
      </c>
      <c r="D146" s="2">
        <v>0.22013888888888888</v>
      </c>
      <c r="E146" s="2">
        <v>0.29722222222222222</v>
      </c>
      <c r="F146">
        <v>1824</v>
      </c>
      <c r="G146" t="s">
        <v>30</v>
      </c>
      <c r="H146" t="s">
        <v>31</v>
      </c>
      <c r="I146" s="1">
        <v>-290735</v>
      </c>
      <c r="J146">
        <v>6069</v>
      </c>
      <c r="K146" t="s">
        <v>86</v>
      </c>
      <c r="L146" t="s">
        <v>218</v>
      </c>
      <c r="M146" s="1">
        <v>-750735</v>
      </c>
      <c r="N146">
        <v>4993</v>
      </c>
      <c r="O146" t="s">
        <v>28</v>
      </c>
      <c r="P146" t="s">
        <v>219</v>
      </c>
      <c r="Q146" s="1">
        <v>-1920735</v>
      </c>
      <c r="R146">
        <v>123</v>
      </c>
      <c r="S146" t="s">
        <v>53</v>
      </c>
      <c r="T146" t="s">
        <v>200</v>
      </c>
      <c r="U146" s="1">
        <v>-19201080</v>
      </c>
      <c r="V146" t="s">
        <v>220</v>
      </c>
      <c r="W146">
        <v>21</v>
      </c>
      <c r="X146">
        <v>289</v>
      </c>
      <c r="Y146" s="8">
        <v>13319</v>
      </c>
      <c r="Z146" s="7">
        <f t="shared" si="41"/>
        <v>2.1698325700127637E-2</v>
      </c>
    </row>
    <row r="147" spans="1:31" x14ac:dyDescent="0.25">
      <c r="A147" t="s">
        <v>214</v>
      </c>
      <c r="B147" t="s">
        <v>215</v>
      </c>
      <c r="C147" t="s">
        <v>27</v>
      </c>
      <c r="D147" s="2">
        <v>0.29722222222222222</v>
      </c>
      <c r="E147" t="s">
        <v>4</v>
      </c>
      <c r="F147">
        <v>1473</v>
      </c>
      <c r="G147" t="s">
        <v>30</v>
      </c>
      <c r="H147" t="s">
        <v>31</v>
      </c>
      <c r="I147" s="1">
        <v>-215735</v>
      </c>
      <c r="J147">
        <v>101789</v>
      </c>
      <c r="K147" t="s">
        <v>86</v>
      </c>
      <c r="L147" t="s">
        <v>221</v>
      </c>
      <c r="M147" s="1">
        <v>-1200735</v>
      </c>
      <c r="N147">
        <v>33809</v>
      </c>
      <c r="O147" t="s">
        <v>28</v>
      </c>
      <c r="P147" t="s">
        <v>222</v>
      </c>
      <c r="Q147" s="1">
        <v>-1920735</v>
      </c>
      <c r="R147">
        <v>1192</v>
      </c>
      <c r="S147" t="s">
        <v>53</v>
      </c>
      <c r="T147" t="s">
        <v>200</v>
      </c>
      <c r="U147" s="1">
        <v>-19201080</v>
      </c>
      <c r="V147" t="s">
        <v>220</v>
      </c>
      <c r="W147">
        <v>138</v>
      </c>
      <c r="X147">
        <v>4198</v>
      </c>
      <c r="Y147" s="8">
        <v>142599</v>
      </c>
      <c r="Z147" s="7">
        <f t="shared" si="41"/>
        <v>2.9439196628307351E-2</v>
      </c>
    </row>
    <row r="148" spans="1:31" x14ac:dyDescent="0.25">
      <c r="A148" t="s">
        <v>223</v>
      </c>
      <c r="B148" t="s">
        <v>215</v>
      </c>
      <c r="C148" t="s">
        <v>38</v>
      </c>
      <c r="D148" t="s">
        <v>3</v>
      </c>
      <c r="E148" t="s">
        <v>4</v>
      </c>
      <c r="F148">
        <v>4111</v>
      </c>
      <c r="G148" t="s">
        <v>30</v>
      </c>
      <c r="H148" t="s">
        <v>31</v>
      </c>
      <c r="I148" s="1">
        <v>-380730</v>
      </c>
      <c r="J148">
        <v>117537</v>
      </c>
      <c r="K148" t="s">
        <v>28</v>
      </c>
      <c r="L148" t="s">
        <v>224</v>
      </c>
      <c r="M148" s="1">
        <v>-1920730</v>
      </c>
      <c r="N148">
        <v>9195</v>
      </c>
      <c r="O148" t="s">
        <v>53</v>
      </c>
      <c r="P148" t="s">
        <v>225</v>
      </c>
      <c r="Q148" s="1">
        <v>-19201080</v>
      </c>
      <c r="W148">
        <v>408</v>
      </c>
      <c r="X148">
        <v>5095</v>
      </c>
      <c r="Y148" s="8">
        <v>136346</v>
      </c>
      <c r="Z148" s="7">
        <f t="shared" si="41"/>
        <v>3.7368166282839246E-2</v>
      </c>
    </row>
    <row r="149" spans="1:31" x14ac:dyDescent="0.25">
      <c r="A149" t="s">
        <v>226</v>
      </c>
      <c r="B149" t="s">
        <v>215</v>
      </c>
      <c r="C149" t="s">
        <v>49</v>
      </c>
      <c r="D149" t="s">
        <v>3</v>
      </c>
      <c r="E149" t="s">
        <v>4</v>
      </c>
      <c r="F149">
        <v>4581</v>
      </c>
      <c r="G149" t="s">
        <v>30</v>
      </c>
      <c r="H149" t="s">
        <v>31</v>
      </c>
      <c r="I149" s="1">
        <v>-380730</v>
      </c>
      <c r="J149">
        <v>61330</v>
      </c>
      <c r="K149" t="s">
        <v>28</v>
      </c>
      <c r="L149" t="s">
        <v>224</v>
      </c>
      <c r="M149" s="1">
        <v>-1920730</v>
      </c>
      <c r="N149">
        <v>103</v>
      </c>
      <c r="O149" t="s">
        <v>32</v>
      </c>
      <c r="P149" t="s">
        <v>225</v>
      </c>
      <c r="Q149" s="1">
        <v>-19201080</v>
      </c>
      <c r="W149">
        <v>148</v>
      </c>
      <c r="X149">
        <v>7397</v>
      </c>
      <c r="Y149" s="8">
        <v>73559</v>
      </c>
      <c r="Z149" s="7">
        <f t="shared" si="41"/>
        <v>0.10055873516496962</v>
      </c>
    </row>
    <row r="150" spans="1:31" x14ac:dyDescent="0.25">
      <c r="A150" t="s">
        <v>227</v>
      </c>
      <c r="B150" t="s">
        <v>215</v>
      </c>
      <c r="C150" t="s">
        <v>47</v>
      </c>
      <c r="D150" t="s">
        <v>3</v>
      </c>
      <c r="E150" t="s">
        <v>4</v>
      </c>
      <c r="F150">
        <v>11678</v>
      </c>
      <c r="G150" t="s">
        <v>30</v>
      </c>
      <c r="H150" t="s">
        <v>31</v>
      </c>
      <c r="I150" s="1">
        <v>-380730</v>
      </c>
      <c r="J150">
        <v>139555</v>
      </c>
      <c r="K150" t="s">
        <v>28</v>
      </c>
      <c r="L150" t="s">
        <v>224</v>
      </c>
      <c r="M150" s="1">
        <v>-1920730</v>
      </c>
      <c r="N150">
        <v>10830</v>
      </c>
      <c r="O150" t="s">
        <v>53</v>
      </c>
      <c r="P150" t="s">
        <v>225</v>
      </c>
      <c r="Q150" s="1">
        <v>-19201080</v>
      </c>
      <c r="W150">
        <v>568</v>
      </c>
      <c r="X150">
        <v>4937</v>
      </c>
      <c r="Y150" s="8">
        <v>167568</v>
      </c>
      <c r="Z150" s="7">
        <f t="shared" si="41"/>
        <v>2.9462665902797669E-2</v>
      </c>
    </row>
    <row r="151" spans="1:31" x14ac:dyDescent="0.25">
      <c r="A151" t="s">
        <v>228</v>
      </c>
      <c r="B151" t="s">
        <v>215</v>
      </c>
      <c r="C151" t="s">
        <v>82</v>
      </c>
      <c r="D151" t="s">
        <v>3</v>
      </c>
      <c r="E151" t="s">
        <v>4</v>
      </c>
      <c r="F151">
        <v>2049</v>
      </c>
      <c r="G151" t="s">
        <v>30</v>
      </c>
      <c r="H151" t="s">
        <v>31</v>
      </c>
      <c r="I151" s="1">
        <v>-380730</v>
      </c>
      <c r="J151">
        <v>128251</v>
      </c>
      <c r="K151" t="s">
        <v>28</v>
      </c>
      <c r="L151" t="s">
        <v>224</v>
      </c>
      <c r="M151" s="1">
        <v>-1920730</v>
      </c>
      <c r="N151">
        <v>1114</v>
      </c>
      <c r="O151" t="s">
        <v>32</v>
      </c>
      <c r="P151" t="s">
        <v>225</v>
      </c>
      <c r="Q151" s="1">
        <v>-19201080</v>
      </c>
      <c r="W151">
        <v>638</v>
      </c>
      <c r="X151">
        <v>5395</v>
      </c>
      <c r="Y151" s="8">
        <v>137447</v>
      </c>
      <c r="Z151" s="7">
        <f t="shared" si="41"/>
        <v>3.9251493302873107E-2</v>
      </c>
      <c r="AA151" s="15">
        <f>SUM(F144:F151)</f>
        <v>44648</v>
      </c>
      <c r="AB151" s="13">
        <f>SUM(J144:J151,N145:N147)</f>
        <v>609237</v>
      </c>
      <c r="AC151">
        <f>SUM(N149,N151)</f>
        <v>1217</v>
      </c>
      <c r="AD151" s="11">
        <f>SUM(N144,N148,N150,R145:R147)</f>
        <v>23587</v>
      </c>
    </row>
    <row r="152" spans="1:31" s="6" customFormat="1" x14ac:dyDescent="0.25">
      <c r="W152" s="6">
        <f>SUM(W144:W151)/Y152</f>
        <v>2.891889871190993E-3</v>
      </c>
      <c r="X152" s="6">
        <f>SUM(X144:X151)/Y152</f>
        <v>3.969647852454368E-2</v>
      </c>
      <c r="Y152" s="9">
        <f t="shared" ref="X152:Y152" si="42">SUM(Y144:Y151)</f>
        <v>708879</v>
      </c>
      <c r="AA152" s="16">
        <f>AA151/$Y152</f>
        <v>6.2983950716553883E-2</v>
      </c>
      <c r="AB152" s="14">
        <f t="shared" ref="AB152:AD152" si="43">AB151/$Y152</f>
        <v>0.85943722412428636</v>
      </c>
      <c r="AC152" s="6">
        <f t="shared" si="43"/>
        <v>1.7167951088972871E-3</v>
      </c>
      <c r="AD152" s="12">
        <f t="shared" si="43"/>
        <v>3.3273661654527782E-2</v>
      </c>
      <c r="AE152" s="6">
        <f>SUM(W152:X152,AC152)</f>
        <v>4.4305163504631963E-2</v>
      </c>
    </row>
    <row r="153" spans="1:31" x14ac:dyDescent="0.25">
      <c r="I153" s="1"/>
      <c r="M153" s="1"/>
      <c r="Q153" s="1"/>
    </row>
    <row r="154" spans="1:31" x14ac:dyDescent="0.25">
      <c r="A154" t="s">
        <v>229</v>
      </c>
      <c r="B154" t="s">
        <v>230</v>
      </c>
      <c r="C154" t="s">
        <v>27</v>
      </c>
      <c r="D154" t="s">
        <v>3</v>
      </c>
      <c r="E154" s="2">
        <v>9.8611111111111108E-2</v>
      </c>
      <c r="F154">
        <v>0</v>
      </c>
      <c r="G154" t="s">
        <v>30</v>
      </c>
      <c r="H154" t="s">
        <v>31</v>
      </c>
      <c r="I154" s="1">
        <v>-312780</v>
      </c>
      <c r="J154">
        <v>0</v>
      </c>
      <c r="K154" t="s">
        <v>28</v>
      </c>
      <c r="L154" t="s">
        <v>231</v>
      </c>
      <c r="M154" s="1">
        <v>-1920780</v>
      </c>
      <c r="N154">
        <v>0</v>
      </c>
      <c r="O154" t="s">
        <v>53</v>
      </c>
      <c r="P154" t="s">
        <v>188</v>
      </c>
      <c r="Q154" s="1">
        <v>-19201080</v>
      </c>
    </row>
    <row r="155" spans="1:31" x14ac:dyDescent="0.25">
      <c r="A155" t="s">
        <v>229</v>
      </c>
      <c r="B155" t="s">
        <v>230</v>
      </c>
      <c r="C155" t="s">
        <v>27</v>
      </c>
      <c r="D155" s="2">
        <v>9.8611111111111108E-2</v>
      </c>
      <c r="E155" s="2">
        <v>0.47430555555555554</v>
      </c>
      <c r="F155">
        <v>0</v>
      </c>
      <c r="G155" t="s">
        <v>140</v>
      </c>
      <c r="H155" t="s">
        <v>31</v>
      </c>
      <c r="I155" s="1">
        <v>-505790</v>
      </c>
      <c r="J155">
        <v>0</v>
      </c>
      <c r="K155" t="s">
        <v>28</v>
      </c>
      <c r="L155" t="s">
        <v>232</v>
      </c>
      <c r="M155" s="1">
        <v>-1920790</v>
      </c>
      <c r="N155">
        <v>0</v>
      </c>
      <c r="O155" t="s">
        <v>53</v>
      </c>
      <c r="P155" t="s">
        <v>233</v>
      </c>
      <c r="Q155" s="1">
        <v>-19201080</v>
      </c>
    </row>
    <row r="156" spans="1:31" x14ac:dyDescent="0.25">
      <c r="A156" t="s">
        <v>229</v>
      </c>
      <c r="B156" t="s">
        <v>230</v>
      </c>
      <c r="C156" t="s">
        <v>27</v>
      </c>
      <c r="D156" s="2">
        <v>0.47430555555555554</v>
      </c>
      <c r="E156" t="s">
        <v>4</v>
      </c>
      <c r="F156">
        <v>0</v>
      </c>
      <c r="G156" t="s">
        <v>140</v>
      </c>
      <c r="H156" t="s">
        <v>31</v>
      </c>
      <c r="I156" s="1">
        <v>-505710</v>
      </c>
      <c r="J156">
        <v>0</v>
      </c>
      <c r="K156" t="s">
        <v>28</v>
      </c>
      <c r="L156" t="s">
        <v>232</v>
      </c>
      <c r="M156" s="1">
        <v>-1920710</v>
      </c>
      <c r="N156">
        <v>0</v>
      </c>
      <c r="O156" t="s">
        <v>53</v>
      </c>
      <c r="P156" t="s">
        <v>174</v>
      </c>
      <c r="Q156" s="1">
        <v>-19201080</v>
      </c>
    </row>
    <row r="157" spans="1:31" x14ac:dyDescent="0.25">
      <c r="A157" t="s">
        <v>234</v>
      </c>
      <c r="B157" t="s">
        <v>230</v>
      </c>
      <c r="C157" t="s">
        <v>38</v>
      </c>
      <c r="D157" t="s">
        <v>3</v>
      </c>
      <c r="E157" s="2">
        <v>0.24305555555555555</v>
      </c>
      <c r="F157">
        <v>2296</v>
      </c>
      <c r="G157" t="s">
        <v>30</v>
      </c>
      <c r="H157" t="s">
        <v>31</v>
      </c>
      <c r="I157" s="1">
        <v>-505720</v>
      </c>
      <c r="J157">
        <v>33031</v>
      </c>
      <c r="K157" t="s">
        <v>28</v>
      </c>
      <c r="L157" t="s">
        <v>232</v>
      </c>
      <c r="M157" s="1">
        <v>-1920720</v>
      </c>
      <c r="N157">
        <v>2348</v>
      </c>
      <c r="O157" t="s">
        <v>53</v>
      </c>
      <c r="P157" t="s">
        <v>235</v>
      </c>
      <c r="Q157" s="1">
        <v>-19201080</v>
      </c>
      <c r="W157">
        <v>86</v>
      </c>
      <c r="X157">
        <v>4240</v>
      </c>
      <c r="Y157" s="8">
        <v>42001</v>
      </c>
      <c r="Z157" s="7">
        <f>X157/Y157</f>
        <v>0.10094997738149092</v>
      </c>
    </row>
    <row r="158" spans="1:31" x14ac:dyDescent="0.25">
      <c r="A158" t="s">
        <v>234</v>
      </c>
      <c r="B158" t="s">
        <v>230</v>
      </c>
      <c r="C158" t="s">
        <v>38</v>
      </c>
      <c r="D158" s="2">
        <v>0.24305555555555555</v>
      </c>
      <c r="E158" t="s">
        <v>4</v>
      </c>
      <c r="F158">
        <v>392</v>
      </c>
      <c r="G158" t="s">
        <v>30</v>
      </c>
      <c r="H158" t="s">
        <v>31</v>
      </c>
      <c r="I158" s="1">
        <v>-505550</v>
      </c>
      <c r="J158">
        <v>62949</v>
      </c>
      <c r="K158" t="s">
        <v>28</v>
      </c>
      <c r="L158" t="s">
        <v>232</v>
      </c>
      <c r="M158" s="1">
        <v>-19201080</v>
      </c>
      <c r="N158">
        <v>84</v>
      </c>
      <c r="O158" t="s">
        <v>53</v>
      </c>
      <c r="P158" t="s">
        <v>236</v>
      </c>
      <c r="Q158" s="1">
        <v>-5051080</v>
      </c>
      <c r="W158">
        <v>343</v>
      </c>
      <c r="X158">
        <v>55117</v>
      </c>
      <c r="Y158" s="8">
        <v>118885</v>
      </c>
      <c r="Z158" s="7">
        <f t="shared" ref="Z158:Z163" si="44">X158/Y158</f>
        <v>0.46361609959204275</v>
      </c>
    </row>
    <row r="159" spans="1:31" x14ac:dyDescent="0.25">
      <c r="A159" t="s">
        <v>237</v>
      </c>
      <c r="B159" t="s">
        <v>230</v>
      </c>
      <c r="C159" t="s">
        <v>45</v>
      </c>
      <c r="D159" t="s">
        <v>3</v>
      </c>
      <c r="E159" s="2">
        <v>0.67291666666666661</v>
      </c>
      <c r="F159">
        <v>3355</v>
      </c>
      <c r="G159" t="s">
        <v>30</v>
      </c>
      <c r="H159" t="s">
        <v>31</v>
      </c>
      <c r="I159" s="1">
        <v>-505550</v>
      </c>
      <c r="J159">
        <v>72739</v>
      </c>
      <c r="K159" t="s">
        <v>28</v>
      </c>
      <c r="L159" t="s">
        <v>232</v>
      </c>
      <c r="M159" s="1">
        <v>-19201080</v>
      </c>
      <c r="N159">
        <v>1324</v>
      </c>
      <c r="O159" t="s">
        <v>53</v>
      </c>
      <c r="P159" t="s">
        <v>236</v>
      </c>
      <c r="Q159" s="1">
        <v>-5051080</v>
      </c>
      <c r="W159">
        <v>76</v>
      </c>
      <c r="X159">
        <v>38783</v>
      </c>
      <c r="Y159" s="8">
        <v>116277</v>
      </c>
      <c r="Z159" s="7">
        <f t="shared" si="44"/>
        <v>0.3335397370073187</v>
      </c>
    </row>
    <row r="160" spans="1:31" x14ac:dyDescent="0.25">
      <c r="A160" t="s">
        <v>237</v>
      </c>
      <c r="B160" t="s">
        <v>230</v>
      </c>
      <c r="C160" t="s">
        <v>45</v>
      </c>
      <c r="D160" s="2">
        <v>0.67291666666666661</v>
      </c>
      <c r="E160" s="2">
        <v>0.69444444444444453</v>
      </c>
      <c r="F160">
        <v>0</v>
      </c>
      <c r="G160" t="s">
        <v>140</v>
      </c>
      <c r="H160" t="s">
        <v>31</v>
      </c>
      <c r="I160" s="1">
        <v>-740550</v>
      </c>
      <c r="J160">
        <v>0</v>
      </c>
      <c r="K160" t="s">
        <v>28</v>
      </c>
      <c r="L160" t="s">
        <v>144</v>
      </c>
      <c r="M160" s="1">
        <v>-19201080</v>
      </c>
      <c r="N160">
        <v>0</v>
      </c>
      <c r="O160" t="s">
        <v>53</v>
      </c>
      <c r="P160" t="s">
        <v>236</v>
      </c>
      <c r="Q160" s="1">
        <v>-7401080</v>
      </c>
      <c r="W160">
        <v>0</v>
      </c>
      <c r="X160">
        <v>3723</v>
      </c>
      <c r="Y160" s="8">
        <v>3723</v>
      </c>
      <c r="Z160" s="7">
        <f t="shared" si="44"/>
        <v>1</v>
      </c>
    </row>
    <row r="161" spans="1:31" x14ac:dyDescent="0.25">
      <c r="A161" t="s">
        <v>237</v>
      </c>
      <c r="B161" t="s">
        <v>230</v>
      </c>
      <c r="C161" t="s">
        <v>45</v>
      </c>
      <c r="D161" s="2">
        <v>0.69444444444444453</v>
      </c>
      <c r="E161" t="s">
        <v>4</v>
      </c>
      <c r="F161">
        <v>167</v>
      </c>
      <c r="G161" t="s">
        <v>30</v>
      </c>
      <c r="H161" t="s">
        <v>31</v>
      </c>
      <c r="I161" s="1">
        <v>-580550</v>
      </c>
      <c r="J161">
        <v>23164</v>
      </c>
      <c r="K161" t="s">
        <v>28</v>
      </c>
      <c r="L161" t="s">
        <v>238</v>
      </c>
      <c r="M161" s="1">
        <v>-19201080</v>
      </c>
      <c r="N161">
        <v>109</v>
      </c>
      <c r="O161" t="s">
        <v>53</v>
      </c>
      <c r="P161" t="s">
        <v>236</v>
      </c>
      <c r="Q161" s="1">
        <v>-5801080</v>
      </c>
      <c r="W161">
        <v>124</v>
      </c>
      <c r="X161">
        <v>55338</v>
      </c>
      <c r="Y161" s="8">
        <v>78902</v>
      </c>
      <c r="Z161" s="7">
        <f t="shared" si="44"/>
        <v>0.70135104306608198</v>
      </c>
    </row>
    <row r="162" spans="1:31" x14ac:dyDescent="0.25">
      <c r="A162" t="s">
        <v>239</v>
      </c>
      <c r="B162" t="s">
        <v>230</v>
      </c>
      <c r="C162" t="s">
        <v>49</v>
      </c>
      <c r="D162" t="s">
        <v>3</v>
      </c>
      <c r="E162" s="2">
        <v>0.41875000000000001</v>
      </c>
      <c r="F162">
        <v>460</v>
      </c>
      <c r="G162" t="s">
        <v>140</v>
      </c>
      <c r="H162" t="s">
        <v>31</v>
      </c>
      <c r="I162" s="1">
        <v>-580550</v>
      </c>
      <c r="J162">
        <v>24281</v>
      </c>
      <c r="K162" t="s">
        <v>28</v>
      </c>
      <c r="L162" t="s">
        <v>238</v>
      </c>
      <c r="M162" s="1">
        <v>-19201080</v>
      </c>
      <c r="N162">
        <v>728</v>
      </c>
      <c r="O162" t="s">
        <v>53</v>
      </c>
      <c r="P162" t="s">
        <v>236</v>
      </c>
      <c r="Q162" s="1">
        <v>-5801080</v>
      </c>
      <c r="W162">
        <v>36</v>
      </c>
      <c r="X162">
        <v>46855</v>
      </c>
      <c r="Y162" s="8">
        <v>72360</v>
      </c>
      <c r="Z162" s="7">
        <f t="shared" si="44"/>
        <v>0.64752625760088445</v>
      </c>
    </row>
    <row r="163" spans="1:31" x14ac:dyDescent="0.25">
      <c r="A163" t="s">
        <v>239</v>
      </c>
      <c r="B163" t="s">
        <v>230</v>
      </c>
      <c r="C163" t="s">
        <v>49</v>
      </c>
      <c r="D163" s="2">
        <v>0.41875000000000001</v>
      </c>
      <c r="E163" t="s">
        <v>4</v>
      </c>
      <c r="F163">
        <v>242</v>
      </c>
      <c r="G163" t="s">
        <v>140</v>
      </c>
      <c r="H163" t="s">
        <v>31</v>
      </c>
      <c r="I163" s="1">
        <v>-700550</v>
      </c>
      <c r="J163">
        <v>20545</v>
      </c>
      <c r="K163" t="s">
        <v>28</v>
      </c>
      <c r="L163" t="s">
        <v>240</v>
      </c>
      <c r="M163" s="1">
        <v>-19201080</v>
      </c>
      <c r="N163">
        <v>139</v>
      </c>
      <c r="O163" t="s">
        <v>53</v>
      </c>
      <c r="P163" t="s">
        <v>236</v>
      </c>
      <c r="Q163" s="1">
        <v>-7001080</v>
      </c>
      <c r="W163">
        <v>159</v>
      </c>
      <c r="X163">
        <v>13856</v>
      </c>
      <c r="Y163" s="8">
        <v>34941</v>
      </c>
      <c r="Z163" s="7">
        <f t="shared" si="44"/>
        <v>0.39655419135113479</v>
      </c>
      <c r="AC163">
        <v>0</v>
      </c>
      <c r="AD163" s="11">
        <f>SUM(N154:N163)</f>
        <v>4732</v>
      </c>
    </row>
    <row r="164" spans="1:31" s="6" customFormat="1" x14ac:dyDescent="0.25">
      <c r="W164" s="6">
        <f>SUM(W157:W163)/Y164</f>
        <v>1.764117759142262E-3</v>
      </c>
      <c r="X164" s="6">
        <f>SUM(X157:X163)/Y164</f>
        <v>0.46653207418714637</v>
      </c>
      <c r="Y164" s="9">
        <f t="shared" ref="X164:Y164" si="45">SUM(Y157:Y163)</f>
        <v>467089</v>
      </c>
      <c r="AA164" s="16" t="s">
        <v>272</v>
      </c>
      <c r="AB164" s="14" t="s">
        <v>272</v>
      </c>
      <c r="AC164" s="6">
        <v>0</v>
      </c>
      <c r="AD164" s="12">
        <f>AD163/Y164</f>
        <v>1.013083159740435E-2</v>
      </c>
      <c r="AE164" s="6">
        <f>SUM(W164:X164,AC164)</f>
        <v>0.46829619194628863</v>
      </c>
    </row>
    <row r="165" spans="1:31" x14ac:dyDescent="0.25">
      <c r="D165" s="2"/>
      <c r="I165" s="1"/>
      <c r="M165" s="1"/>
      <c r="Q165" s="1"/>
    </row>
    <row r="166" spans="1:31" x14ac:dyDescent="0.25">
      <c r="A166" t="s">
        <v>241</v>
      </c>
      <c r="B166" t="s">
        <v>242</v>
      </c>
      <c r="C166" t="s">
        <v>27</v>
      </c>
      <c r="D166" t="s">
        <v>3</v>
      </c>
      <c r="E166" t="s">
        <v>4</v>
      </c>
      <c r="F166">
        <v>9358</v>
      </c>
      <c r="G166" t="s">
        <v>30</v>
      </c>
      <c r="H166" t="s">
        <v>31</v>
      </c>
      <c r="I166" s="1">
        <v>-330800</v>
      </c>
      <c r="J166">
        <v>20604</v>
      </c>
      <c r="K166" t="s">
        <v>28</v>
      </c>
      <c r="L166" t="s">
        <v>243</v>
      </c>
      <c r="M166" s="1">
        <v>-1920800</v>
      </c>
      <c r="N166">
        <v>85</v>
      </c>
      <c r="O166" t="s">
        <v>53</v>
      </c>
      <c r="P166" t="s">
        <v>244</v>
      </c>
      <c r="Q166" s="1">
        <v>-19201080</v>
      </c>
      <c r="W166">
        <v>1119</v>
      </c>
      <c r="X166">
        <v>14286</v>
      </c>
      <c r="Y166" s="8">
        <v>45452</v>
      </c>
      <c r="Z166" s="7">
        <f>X166/Y166</f>
        <v>0.31430960133767488</v>
      </c>
    </row>
    <row r="167" spans="1:31" x14ac:dyDescent="0.25">
      <c r="A167" t="s">
        <v>245</v>
      </c>
      <c r="B167" t="s">
        <v>242</v>
      </c>
      <c r="C167" t="s">
        <v>27</v>
      </c>
      <c r="D167" t="s">
        <v>3</v>
      </c>
      <c r="E167" t="s">
        <v>4</v>
      </c>
      <c r="F167">
        <v>347</v>
      </c>
      <c r="G167" t="s">
        <v>30</v>
      </c>
      <c r="H167" t="s">
        <v>31</v>
      </c>
      <c r="I167" s="1">
        <v>-330800</v>
      </c>
      <c r="J167">
        <v>54724</v>
      </c>
      <c r="K167" t="s">
        <v>28</v>
      </c>
      <c r="L167" t="s">
        <v>243</v>
      </c>
      <c r="M167" s="1">
        <v>-1920800</v>
      </c>
      <c r="N167">
        <v>6458</v>
      </c>
      <c r="O167" t="s">
        <v>53</v>
      </c>
      <c r="P167" t="s">
        <v>244</v>
      </c>
      <c r="Q167" s="1">
        <v>-19201080</v>
      </c>
      <c r="W167">
        <v>1307</v>
      </c>
      <c r="X167">
        <v>4131</v>
      </c>
      <c r="Y167" s="8">
        <v>66967</v>
      </c>
      <c r="Z167" s="7">
        <f t="shared" ref="Z167:Z174" si="46">X167/Y167</f>
        <v>6.168709961622889E-2</v>
      </c>
    </row>
    <row r="168" spans="1:31" x14ac:dyDescent="0.25">
      <c r="A168" t="s">
        <v>246</v>
      </c>
      <c r="B168" t="s">
        <v>242</v>
      </c>
      <c r="C168" t="s">
        <v>38</v>
      </c>
      <c r="D168" t="s">
        <v>3</v>
      </c>
      <c r="E168" t="s">
        <v>4</v>
      </c>
      <c r="F168">
        <v>1751</v>
      </c>
      <c r="G168" t="s">
        <v>30</v>
      </c>
      <c r="H168" t="s">
        <v>31</v>
      </c>
      <c r="I168" s="1">
        <v>-330800</v>
      </c>
      <c r="J168">
        <v>33533</v>
      </c>
      <c r="K168" t="s">
        <v>28</v>
      </c>
      <c r="L168" t="s">
        <v>243</v>
      </c>
      <c r="M168" s="1">
        <v>-1920800</v>
      </c>
      <c r="N168">
        <v>190</v>
      </c>
      <c r="O168" t="s">
        <v>32</v>
      </c>
      <c r="P168" t="s">
        <v>244</v>
      </c>
      <c r="Q168" s="1">
        <v>-19201080</v>
      </c>
      <c r="W168">
        <v>476</v>
      </c>
      <c r="X168">
        <v>2294</v>
      </c>
      <c r="Y168" s="8">
        <v>38244</v>
      </c>
      <c r="Z168" s="7">
        <f t="shared" si="46"/>
        <v>5.9983265348812882E-2</v>
      </c>
    </row>
    <row r="169" spans="1:31" x14ac:dyDescent="0.25">
      <c r="A169" t="s">
        <v>247</v>
      </c>
      <c r="B169" t="s">
        <v>242</v>
      </c>
      <c r="C169" t="s">
        <v>45</v>
      </c>
      <c r="D169" t="s">
        <v>3</v>
      </c>
      <c r="E169" t="s">
        <v>4</v>
      </c>
      <c r="F169">
        <v>8772</v>
      </c>
      <c r="G169" t="s">
        <v>30</v>
      </c>
      <c r="H169" t="s">
        <v>31</v>
      </c>
      <c r="I169" s="1">
        <v>-330800</v>
      </c>
      <c r="J169">
        <v>87600</v>
      </c>
      <c r="K169" t="s">
        <v>28</v>
      </c>
      <c r="L169" t="s">
        <v>243</v>
      </c>
      <c r="M169" s="1">
        <v>-1920800</v>
      </c>
      <c r="N169">
        <v>494</v>
      </c>
      <c r="O169" t="s">
        <v>32</v>
      </c>
      <c r="P169" t="s">
        <v>244</v>
      </c>
      <c r="Q169" s="1">
        <v>-19201080</v>
      </c>
      <c r="W169">
        <v>321</v>
      </c>
      <c r="X169">
        <v>8353</v>
      </c>
      <c r="Y169" s="8">
        <v>105540</v>
      </c>
      <c r="Z169" s="7">
        <f t="shared" si="46"/>
        <v>7.9145347735455757E-2</v>
      </c>
    </row>
    <row r="170" spans="1:31" x14ac:dyDescent="0.25">
      <c r="A170" t="s">
        <v>248</v>
      </c>
      <c r="B170" t="s">
        <v>242</v>
      </c>
      <c r="C170" t="s">
        <v>49</v>
      </c>
      <c r="D170" t="s">
        <v>3</v>
      </c>
      <c r="E170" t="s">
        <v>4</v>
      </c>
      <c r="F170">
        <v>1146</v>
      </c>
      <c r="G170" t="s">
        <v>30</v>
      </c>
      <c r="H170" t="s">
        <v>31</v>
      </c>
      <c r="I170" s="1">
        <v>-330800</v>
      </c>
      <c r="J170">
        <v>35722</v>
      </c>
      <c r="K170" t="s">
        <v>28</v>
      </c>
      <c r="L170" t="s">
        <v>243</v>
      </c>
      <c r="M170" s="1">
        <v>-1920800</v>
      </c>
      <c r="N170">
        <v>4626</v>
      </c>
      <c r="O170" t="s">
        <v>53</v>
      </c>
      <c r="P170" t="s">
        <v>244</v>
      </c>
      <c r="Q170" s="1">
        <v>-19201080</v>
      </c>
      <c r="W170">
        <v>126</v>
      </c>
      <c r="X170">
        <v>4183</v>
      </c>
      <c r="Y170" s="8">
        <v>45803</v>
      </c>
      <c r="Z170" s="7">
        <f t="shared" si="46"/>
        <v>9.1325895683688846E-2</v>
      </c>
    </row>
    <row r="171" spans="1:31" x14ac:dyDescent="0.25">
      <c r="A171" t="s">
        <v>249</v>
      </c>
      <c r="B171" t="s">
        <v>242</v>
      </c>
      <c r="C171" t="s">
        <v>68</v>
      </c>
      <c r="D171" t="s">
        <v>3</v>
      </c>
      <c r="E171" t="s">
        <v>4</v>
      </c>
      <c r="F171">
        <v>3679</v>
      </c>
      <c r="G171" t="s">
        <v>30</v>
      </c>
      <c r="H171" t="s">
        <v>31</v>
      </c>
      <c r="I171" s="1">
        <v>-330800</v>
      </c>
      <c r="J171">
        <v>46759</v>
      </c>
      <c r="K171" t="s">
        <v>28</v>
      </c>
      <c r="L171" t="s">
        <v>243</v>
      </c>
      <c r="M171" s="1">
        <v>-1920800</v>
      </c>
      <c r="N171">
        <v>191</v>
      </c>
      <c r="O171" t="s">
        <v>32</v>
      </c>
      <c r="P171" t="s">
        <v>244</v>
      </c>
      <c r="Q171" s="1">
        <v>-19201080</v>
      </c>
      <c r="W171">
        <v>1615</v>
      </c>
      <c r="X171">
        <v>10338</v>
      </c>
      <c r="Y171" s="8">
        <v>62582</v>
      </c>
      <c r="Z171" s="7">
        <f t="shared" si="46"/>
        <v>0.16519126905499984</v>
      </c>
    </row>
    <row r="172" spans="1:31" x14ac:dyDescent="0.25">
      <c r="A172" t="s">
        <v>250</v>
      </c>
      <c r="B172" t="s">
        <v>242</v>
      </c>
      <c r="C172" t="s">
        <v>42</v>
      </c>
      <c r="D172" t="s">
        <v>3</v>
      </c>
      <c r="E172" t="s">
        <v>4</v>
      </c>
      <c r="F172">
        <v>7446</v>
      </c>
      <c r="G172" t="s">
        <v>30</v>
      </c>
      <c r="H172" t="s">
        <v>31</v>
      </c>
      <c r="I172" s="1">
        <v>-330800</v>
      </c>
      <c r="J172">
        <v>41641</v>
      </c>
      <c r="K172" t="s">
        <v>28</v>
      </c>
      <c r="L172" t="s">
        <v>243</v>
      </c>
      <c r="M172" s="1">
        <v>-1920800</v>
      </c>
      <c r="N172">
        <v>302</v>
      </c>
      <c r="O172" t="s">
        <v>32</v>
      </c>
      <c r="P172" t="s">
        <v>244</v>
      </c>
      <c r="Q172" s="1">
        <v>-19201080</v>
      </c>
      <c r="W172">
        <v>537</v>
      </c>
      <c r="X172">
        <v>6170</v>
      </c>
      <c r="Y172" s="8">
        <v>56096</v>
      </c>
      <c r="Z172" s="7">
        <f t="shared" si="46"/>
        <v>0.10999001711351968</v>
      </c>
    </row>
    <row r="173" spans="1:31" x14ac:dyDescent="0.25">
      <c r="A173" t="s">
        <v>251</v>
      </c>
      <c r="B173" t="s">
        <v>242</v>
      </c>
      <c r="C173" t="s">
        <v>82</v>
      </c>
      <c r="D173" t="s">
        <v>3</v>
      </c>
      <c r="E173" t="s">
        <v>4</v>
      </c>
      <c r="F173">
        <v>702</v>
      </c>
      <c r="G173" t="s">
        <v>30</v>
      </c>
      <c r="H173" t="s">
        <v>31</v>
      </c>
      <c r="I173" s="1">
        <v>-330800</v>
      </c>
      <c r="J173">
        <v>43976</v>
      </c>
      <c r="K173" t="s">
        <v>28</v>
      </c>
      <c r="L173" t="s">
        <v>243</v>
      </c>
      <c r="M173" s="1">
        <v>-1920800</v>
      </c>
      <c r="N173">
        <v>2743</v>
      </c>
      <c r="O173" t="s">
        <v>53</v>
      </c>
      <c r="P173" t="s">
        <v>244</v>
      </c>
      <c r="Q173" s="1">
        <v>-19201080</v>
      </c>
      <c r="W173">
        <v>279</v>
      </c>
      <c r="X173">
        <v>12028</v>
      </c>
      <c r="Y173" s="8">
        <v>59728</v>
      </c>
      <c r="Z173" s="7">
        <f t="shared" si="46"/>
        <v>0.20137958746316637</v>
      </c>
    </row>
    <row r="174" spans="1:31" x14ac:dyDescent="0.25">
      <c r="A174" t="s">
        <v>252</v>
      </c>
      <c r="B174" t="s">
        <v>242</v>
      </c>
      <c r="C174" t="s">
        <v>47</v>
      </c>
      <c r="D174" t="s">
        <v>3</v>
      </c>
      <c r="E174" t="s">
        <v>4</v>
      </c>
      <c r="F174">
        <v>10555</v>
      </c>
      <c r="G174" t="s">
        <v>30</v>
      </c>
      <c r="H174" t="s">
        <v>31</v>
      </c>
      <c r="I174" s="1">
        <v>-330800</v>
      </c>
      <c r="J174">
        <v>66328</v>
      </c>
      <c r="K174" t="s">
        <v>28</v>
      </c>
      <c r="L174" t="s">
        <v>243</v>
      </c>
      <c r="M174" s="1">
        <v>-1920800</v>
      </c>
      <c r="N174">
        <v>417</v>
      </c>
      <c r="O174" t="s">
        <v>32</v>
      </c>
      <c r="P174" t="s">
        <v>244</v>
      </c>
      <c r="Q174" s="1">
        <v>-19201080</v>
      </c>
      <c r="W174">
        <v>324</v>
      </c>
      <c r="X174">
        <v>28785</v>
      </c>
      <c r="Y174" s="8">
        <v>106409</v>
      </c>
      <c r="Z174" s="7">
        <f t="shared" si="46"/>
        <v>0.27051283256115555</v>
      </c>
      <c r="AA174" s="15">
        <f>SUM(F166:F174)</f>
        <v>43756</v>
      </c>
      <c r="AB174" s="13">
        <f>SUM(J166:J174)</f>
        <v>430887</v>
      </c>
      <c r="AC174">
        <f>SUM(N168:N169,N171:N172,N174)</f>
        <v>1594</v>
      </c>
      <c r="AD174" s="11">
        <f>SUM(N166:N167,N170,N173)</f>
        <v>13912</v>
      </c>
    </row>
    <row r="175" spans="1:31" s="6" customFormat="1" x14ac:dyDescent="0.25">
      <c r="W175" s="6">
        <f>SUM(W166:W174)/Y175</f>
        <v>1.0401809069545909E-2</v>
      </c>
      <c r="X175" s="6">
        <f>SUM(X166:X174)/Y175</f>
        <v>0.15433667165967135</v>
      </c>
      <c r="Y175" s="9">
        <f t="shared" ref="X175:Y175" si="47">SUM(Y166:Y174)</f>
        <v>586821</v>
      </c>
      <c r="AA175" s="16">
        <f>AA174/$Y175</f>
        <v>7.4564475368127589E-2</v>
      </c>
      <c r="AB175" s="14">
        <f t="shared" ref="AB175:AD175" si="48">AB174/$Y175</f>
        <v>0.73427331332723267</v>
      </c>
      <c r="AC175" s="6">
        <f t="shared" si="48"/>
        <v>2.7163308743211301E-3</v>
      </c>
      <c r="AD175" s="12">
        <f t="shared" si="48"/>
        <v>2.3707399701101358E-2</v>
      </c>
      <c r="AE175" s="6">
        <f>SUM(W175:X175,AC175)</f>
        <v>0.16745481160353839</v>
      </c>
    </row>
    <row r="176" spans="1:31" x14ac:dyDescent="0.25">
      <c r="I176" s="1"/>
      <c r="M176" s="1"/>
      <c r="Q176" s="1"/>
    </row>
    <row r="177" spans="1:31" x14ac:dyDescent="0.25">
      <c r="A177" t="s">
        <v>253</v>
      </c>
      <c r="B177" t="s">
        <v>254</v>
      </c>
      <c r="C177" t="s">
        <v>27</v>
      </c>
      <c r="D177" t="s">
        <v>3</v>
      </c>
      <c r="E177" t="s">
        <v>4</v>
      </c>
      <c r="F177">
        <v>136</v>
      </c>
      <c r="G177" t="s">
        <v>30</v>
      </c>
      <c r="H177" t="s">
        <v>31</v>
      </c>
      <c r="I177" s="1">
        <v>-390840</v>
      </c>
      <c r="J177">
        <v>630</v>
      </c>
      <c r="K177" t="s">
        <v>28</v>
      </c>
      <c r="L177" t="s">
        <v>255</v>
      </c>
      <c r="M177" s="1">
        <v>-1920840</v>
      </c>
      <c r="N177">
        <v>149</v>
      </c>
      <c r="O177" t="s">
        <v>53</v>
      </c>
      <c r="P177" t="s">
        <v>256</v>
      </c>
      <c r="Q177" s="1">
        <v>-19201080</v>
      </c>
      <c r="W177">
        <v>7</v>
      </c>
      <c r="X177">
        <v>60</v>
      </c>
      <c r="Y177" s="8">
        <v>982</v>
      </c>
      <c r="Z177" s="7">
        <f>X177/Y177</f>
        <v>6.1099796334012219E-2</v>
      </c>
    </row>
    <row r="178" spans="1:31" x14ac:dyDescent="0.25">
      <c r="A178" t="s">
        <v>257</v>
      </c>
      <c r="B178" t="s">
        <v>254</v>
      </c>
      <c r="C178" t="s">
        <v>27</v>
      </c>
      <c r="D178" t="s">
        <v>3</v>
      </c>
      <c r="E178" t="s">
        <v>4</v>
      </c>
      <c r="F178">
        <v>9121</v>
      </c>
      <c r="G178" t="s">
        <v>30</v>
      </c>
      <c r="H178" t="s">
        <v>31</v>
      </c>
      <c r="I178" s="1">
        <v>-390840</v>
      </c>
      <c r="J178">
        <v>6945</v>
      </c>
      <c r="K178" t="s">
        <v>28</v>
      </c>
      <c r="L178" t="s">
        <v>255</v>
      </c>
      <c r="M178" s="1">
        <v>-1920840</v>
      </c>
      <c r="N178">
        <v>187</v>
      </c>
      <c r="O178" t="s">
        <v>53</v>
      </c>
      <c r="P178" t="s">
        <v>256</v>
      </c>
      <c r="Q178" s="1">
        <v>-19201080</v>
      </c>
      <c r="W178">
        <v>310</v>
      </c>
      <c r="X178">
        <v>362</v>
      </c>
      <c r="Y178" s="8">
        <v>16925</v>
      </c>
      <c r="Z178" s="7">
        <f t="shared" ref="Z178:Z184" si="49">X178/Y178</f>
        <v>2.1388478581979321E-2</v>
      </c>
    </row>
    <row r="179" spans="1:31" x14ac:dyDescent="0.25">
      <c r="A179" t="s">
        <v>258</v>
      </c>
      <c r="B179" t="s">
        <v>254</v>
      </c>
      <c r="C179" t="s">
        <v>27</v>
      </c>
      <c r="D179" t="s">
        <v>3</v>
      </c>
      <c r="E179" s="2">
        <v>3.8194444444444441E-2</v>
      </c>
      <c r="F179">
        <v>3907</v>
      </c>
      <c r="G179" t="s">
        <v>30</v>
      </c>
      <c r="H179" t="s">
        <v>31</v>
      </c>
      <c r="I179" s="1">
        <v>-390840</v>
      </c>
      <c r="J179">
        <v>2551</v>
      </c>
      <c r="K179" t="s">
        <v>28</v>
      </c>
      <c r="L179" t="s">
        <v>255</v>
      </c>
      <c r="M179" s="1">
        <v>-1920840</v>
      </c>
      <c r="N179">
        <v>12</v>
      </c>
      <c r="O179" t="s">
        <v>53</v>
      </c>
      <c r="P179" t="s">
        <v>256</v>
      </c>
      <c r="Q179" s="1">
        <v>-19201080</v>
      </c>
      <c r="W179">
        <v>2</v>
      </c>
      <c r="X179">
        <v>130</v>
      </c>
      <c r="Y179" s="8">
        <v>6602</v>
      </c>
      <c r="Z179" s="7">
        <f t="shared" si="49"/>
        <v>1.9691002726446531E-2</v>
      </c>
    </row>
    <row r="180" spans="1:31" x14ac:dyDescent="0.25">
      <c r="A180" t="s">
        <v>258</v>
      </c>
      <c r="B180" t="s">
        <v>254</v>
      </c>
      <c r="C180" t="s">
        <v>27</v>
      </c>
      <c r="D180" s="2">
        <v>3.8194444444444441E-2</v>
      </c>
      <c r="E180" t="s">
        <v>4</v>
      </c>
      <c r="F180">
        <v>10334</v>
      </c>
      <c r="G180" t="s">
        <v>140</v>
      </c>
      <c r="H180" t="s">
        <v>31</v>
      </c>
      <c r="I180" s="1">
        <v>-640840</v>
      </c>
      <c r="J180">
        <v>3760</v>
      </c>
      <c r="K180" t="s">
        <v>28</v>
      </c>
      <c r="L180" t="s">
        <v>259</v>
      </c>
      <c r="M180" s="1">
        <v>-1920840</v>
      </c>
      <c r="N180">
        <v>708</v>
      </c>
      <c r="O180" t="s">
        <v>53</v>
      </c>
      <c r="P180" t="s">
        <v>256</v>
      </c>
      <c r="Q180" s="1">
        <v>-19201080</v>
      </c>
      <c r="W180">
        <v>289</v>
      </c>
      <c r="X180">
        <v>320</v>
      </c>
      <c r="Y180" s="8">
        <v>15411</v>
      </c>
      <c r="Z180" s="7">
        <f t="shared" si="49"/>
        <v>2.0764389072740249E-2</v>
      </c>
    </row>
    <row r="181" spans="1:31" x14ac:dyDescent="0.25">
      <c r="A181" t="s">
        <v>260</v>
      </c>
      <c r="B181" t="s">
        <v>254</v>
      </c>
      <c r="C181" t="s">
        <v>27</v>
      </c>
      <c r="D181" t="s">
        <v>3</v>
      </c>
      <c r="E181" t="s">
        <v>4</v>
      </c>
      <c r="F181">
        <v>6273</v>
      </c>
      <c r="G181" t="s">
        <v>140</v>
      </c>
      <c r="H181" t="s">
        <v>31</v>
      </c>
      <c r="I181" s="1">
        <v>-640840</v>
      </c>
      <c r="J181">
        <v>81035</v>
      </c>
      <c r="K181" t="s">
        <v>28</v>
      </c>
      <c r="L181" t="s">
        <v>259</v>
      </c>
      <c r="M181" s="1">
        <v>-1920840</v>
      </c>
      <c r="N181">
        <v>744</v>
      </c>
      <c r="O181" t="s">
        <v>53</v>
      </c>
      <c r="P181" t="s">
        <v>256</v>
      </c>
      <c r="Q181" s="1">
        <v>-19201080</v>
      </c>
      <c r="W181">
        <v>302</v>
      </c>
      <c r="X181">
        <v>4017</v>
      </c>
      <c r="Y181" s="8">
        <v>92371</v>
      </c>
      <c r="Z181" s="7">
        <f t="shared" si="49"/>
        <v>4.3487674703099458E-2</v>
      </c>
    </row>
    <row r="182" spans="1:31" x14ac:dyDescent="0.25">
      <c r="A182" t="s">
        <v>261</v>
      </c>
      <c r="B182" t="s">
        <v>254</v>
      </c>
      <c r="C182" t="s">
        <v>38</v>
      </c>
      <c r="D182" t="s">
        <v>3</v>
      </c>
      <c r="E182" t="s">
        <v>4</v>
      </c>
      <c r="F182">
        <v>5475</v>
      </c>
      <c r="G182" t="s">
        <v>30</v>
      </c>
      <c r="H182" t="s">
        <v>31</v>
      </c>
      <c r="I182" s="1">
        <v>-640840</v>
      </c>
      <c r="J182">
        <v>45833</v>
      </c>
      <c r="K182" t="s">
        <v>28</v>
      </c>
      <c r="L182" t="s">
        <v>259</v>
      </c>
      <c r="M182" s="1">
        <v>-1920840</v>
      </c>
      <c r="N182">
        <v>627</v>
      </c>
      <c r="O182" t="s">
        <v>32</v>
      </c>
      <c r="P182" t="s">
        <v>256</v>
      </c>
      <c r="Q182" s="1">
        <v>-19201080</v>
      </c>
      <c r="W182">
        <v>282</v>
      </c>
      <c r="X182">
        <v>2320</v>
      </c>
      <c r="Y182" s="8">
        <v>54537</v>
      </c>
      <c r="Z182" s="7">
        <f t="shared" si="49"/>
        <v>4.2539927022021744E-2</v>
      </c>
    </row>
    <row r="183" spans="1:31" x14ac:dyDescent="0.25">
      <c r="A183" t="s">
        <v>262</v>
      </c>
      <c r="B183" t="s">
        <v>254</v>
      </c>
      <c r="C183" t="s">
        <v>38</v>
      </c>
      <c r="D183" t="s">
        <v>3</v>
      </c>
      <c r="E183" t="s">
        <v>4</v>
      </c>
      <c r="F183">
        <v>6667</v>
      </c>
      <c r="G183" t="s">
        <v>30</v>
      </c>
      <c r="H183" t="s">
        <v>31</v>
      </c>
      <c r="I183" s="1">
        <v>-640840</v>
      </c>
      <c r="J183">
        <v>148660</v>
      </c>
      <c r="K183" t="s">
        <v>28</v>
      </c>
      <c r="L183" t="s">
        <v>259</v>
      </c>
      <c r="M183" s="1">
        <v>-1920840</v>
      </c>
      <c r="N183">
        <v>1476</v>
      </c>
      <c r="O183" t="s">
        <v>32</v>
      </c>
      <c r="P183" t="s">
        <v>256</v>
      </c>
      <c r="Q183" s="1">
        <v>-19201080</v>
      </c>
      <c r="W183">
        <v>361</v>
      </c>
      <c r="X183">
        <v>9612</v>
      </c>
      <c r="Y183" s="8">
        <v>166776</v>
      </c>
      <c r="Z183" s="7">
        <f t="shared" si="49"/>
        <v>5.7634191970067639E-2</v>
      </c>
    </row>
    <row r="184" spans="1:31" x14ac:dyDescent="0.25">
      <c r="A184" t="s">
        <v>263</v>
      </c>
      <c r="B184" t="s">
        <v>254</v>
      </c>
      <c r="C184" t="s">
        <v>49</v>
      </c>
      <c r="D184" t="s">
        <v>3</v>
      </c>
      <c r="E184" t="s">
        <v>4</v>
      </c>
      <c r="F184">
        <v>4802</v>
      </c>
      <c r="G184" t="s">
        <v>30</v>
      </c>
      <c r="H184" t="s">
        <v>31</v>
      </c>
      <c r="I184" s="1">
        <v>-640840</v>
      </c>
      <c r="J184">
        <v>95712</v>
      </c>
      <c r="K184" t="s">
        <v>28</v>
      </c>
      <c r="L184" t="s">
        <v>259</v>
      </c>
      <c r="M184" s="1">
        <v>-1920840</v>
      </c>
      <c r="N184">
        <v>1344</v>
      </c>
      <c r="O184" t="s">
        <v>32</v>
      </c>
      <c r="P184" t="s">
        <v>256</v>
      </c>
      <c r="Q184" s="1">
        <v>-19201080</v>
      </c>
      <c r="W184">
        <v>594</v>
      </c>
      <c r="X184">
        <v>5622</v>
      </c>
      <c r="Y184" s="8">
        <v>108074</v>
      </c>
      <c r="Z184" s="7">
        <f t="shared" si="49"/>
        <v>5.2019912282325075E-2</v>
      </c>
      <c r="AC184">
        <f>SUM(N182:N184)</f>
        <v>3447</v>
      </c>
      <c r="AD184" s="11">
        <f>SUM(N177:N181)</f>
        <v>1800</v>
      </c>
    </row>
    <row r="185" spans="1:31" s="6" customFormat="1" x14ac:dyDescent="0.25">
      <c r="W185" s="6">
        <f>SUM(W177:W184)/Y185</f>
        <v>4.650427354129935E-3</v>
      </c>
      <c r="X185" s="6">
        <f>SUM(X177:X184)/Y185</f>
        <v>4.8611803031550126E-2</v>
      </c>
      <c r="Y185" s="9">
        <f t="shared" ref="X185:Y185" si="50">SUM(Y177:Y184)</f>
        <v>461678</v>
      </c>
      <c r="AA185" s="16" t="s">
        <v>272</v>
      </c>
      <c r="AB185" s="14" t="s">
        <v>272</v>
      </c>
      <c r="AC185" s="6">
        <f>AC184/Y185</f>
        <v>7.4662427059552332E-3</v>
      </c>
      <c r="AD185" s="12">
        <f>AD184/Y185</f>
        <v>3.8988212563734899E-3</v>
      </c>
      <c r="AE185" s="6">
        <f>SUM(W185:X185,AC185)</f>
        <v>6.0728473091635288E-2</v>
      </c>
    </row>
    <row r="186" spans="1:31" x14ac:dyDescent="0.25">
      <c r="I186" s="1"/>
      <c r="M186" s="1"/>
      <c r="Q186" s="1"/>
    </row>
    <row r="187" spans="1:31" x14ac:dyDescent="0.25">
      <c r="A187" t="s">
        <v>264</v>
      </c>
      <c r="B187" t="s">
        <v>265</v>
      </c>
      <c r="C187" t="s">
        <v>38</v>
      </c>
      <c r="D187" t="s">
        <v>3</v>
      </c>
      <c r="E187" t="s">
        <v>4</v>
      </c>
      <c r="F187">
        <v>3192</v>
      </c>
      <c r="G187" t="s">
        <v>30</v>
      </c>
      <c r="H187" t="s">
        <v>31</v>
      </c>
      <c r="I187" s="1">
        <v>-330750</v>
      </c>
      <c r="J187">
        <v>34014</v>
      </c>
      <c r="K187" t="s">
        <v>28</v>
      </c>
      <c r="L187" t="s">
        <v>243</v>
      </c>
      <c r="M187" s="1">
        <v>-1920750</v>
      </c>
      <c r="N187">
        <v>8625</v>
      </c>
      <c r="O187" t="s">
        <v>53</v>
      </c>
      <c r="P187" t="s">
        <v>132</v>
      </c>
      <c r="Q187" s="1">
        <v>-19201080</v>
      </c>
      <c r="W187">
        <v>157</v>
      </c>
      <c r="X187">
        <v>3315</v>
      </c>
      <c r="Y187" s="8">
        <v>49303</v>
      </c>
      <c r="Z187" s="7">
        <f>X187/Y187</f>
        <v>6.7237287791817937E-2</v>
      </c>
    </row>
    <row r="188" spans="1:31" x14ac:dyDescent="0.25">
      <c r="A188" t="s">
        <v>266</v>
      </c>
      <c r="B188" t="s">
        <v>265</v>
      </c>
      <c r="C188" t="s">
        <v>38</v>
      </c>
      <c r="D188" t="s">
        <v>3</v>
      </c>
      <c r="E188" t="s">
        <v>4</v>
      </c>
      <c r="F188">
        <v>8514</v>
      </c>
      <c r="G188" t="s">
        <v>30</v>
      </c>
      <c r="H188" t="s">
        <v>31</v>
      </c>
      <c r="I188" s="1">
        <v>-330750</v>
      </c>
      <c r="J188">
        <v>143792</v>
      </c>
      <c r="K188" t="s">
        <v>28</v>
      </c>
      <c r="L188" t="s">
        <v>243</v>
      </c>
      <c r="M188" s="1">
        <v>-1920750</v>
      </c>
      <c r="N188">
        <v>645</v>
      </c>
      <c r="O188" t="s">
        <v>32</v>
      </c>
      <c r="P188" t="s">
        <v>132</v>
      </c>
      <c r="Q188" s="1">
        <v>-19201080</v>
      </c>
      <c r="W188">
        <v>152</v>
      </c>
      <c r="X188">
        <v>11387</v>
      </c>
      <c r="Y188" s="8">
        <v>164490</v>
      </c>
      <c r="Z188" s="7">
        <f t="shared" ref="Z188:Z190" si="51">X188/Y188</f>
        <v>6.9226092771597053E-2</v>
      </c>
    </row>
    <row r="189" spans="1:31" x14ac:dyDescent="0.25">
      <c r="A189" t="s">
        <v>267</v>
      </c>
      <c r="B189" t="s">
        <v>265</v>
      </c>
      <c r="C189" t="s">
        <v>42</v>
      </c>
      <c r="D189" t="s">
        <v>3</v>
      </c>
      <c r="E189" t="s">
        <v>4</v>
      </c>
      <c r="F189">
        <v>45662</v>
      </c>
      <c r="G189" t="s">
        <v>30</v>
      </c>
      <c r="H189" t="s">
        <v>31</v>
      </c>
      <c r="I189" s="1">
        <v>-350750</v>
      </c>
      <c r="J189">
        <v>180717</v>
      </c>
      <c r="K189" t="s">
        <v>28</v>
      </c>
      <c r="L189" t="s">
        <v>268</v>
      </c>
      <c r="M189" s="1">
        <v>-1920750</v>
      </c>
      <c r="N189">
        <v>2915</v>
      </c>
      <c r="O189" t="s">
        <v>32</v>
      </c>
      <c r="P189" t="s">
        <v>132</v>
      </c>
      <c r="Q189" s="1">
        <v>-19201080</v>
      </c>
      <c r="W189">
        <v>158</v>
      </c>
      <c r="X189">
        <v>8198</v>
      </c>
      <c r="Y189" s="8">
        <v>237650</v>
      </c>
      <c r="Z189" s="7">
        <f t="shared" si="51"/>
        <v>3.4496107721439094E-2</v>
      </c>
    </row>
    <row r="190" spans="1:31" x14ac:dyDescent="0.25">
      <c r="A190" t="s">
        <v>269</v>
      </c>
      <c r="B190" t="s">
        <v>265</v>
      </c>
      <c r="C190" t="s">
        <v>49</v>
      </c>
      <c r="D190" t="s">
        <v>3</v>
      </c>
      <c r="E190" t="s">
        <v>4</v>
      </c>
      <c r="F190">
        <v>3520</v>
      </c>
      <c r="G190" t="s">
        <v>30</v>
      </c>
      <c r="H190" t="s">
        <v>31</v>
      </c>
      <c r="I190" s="1">
        <v>-350750</v>
      </c>
      <c r="J190">
        <v>63552</v>
      </c>
      <c r="K190" t="s">
        <v>28</v>
      </c>
      <c r="L190" t="s">
        <v>268</v>
      </c>
      <c r="M190" s="1">
        <v>-1920750</v>
      </c>
      <c r="N190">
        <v>357</v>
      </c>
      <c r="O190" t="s">
        <v>32</v>
      </c>
      <c r="P190" t="s">
        <v>132</v>
      </c>
      <c r="Q190" s="1">
        <v>-19201080</v>
      </c>
      <c r="W190">
        <v>306</v>
      </c>
      <c r="X190">
        <v>6199</v>
      </c>
      <c r="Y190" s="8">
        <v>73934</v>
      </c>
      <c r="Z190" s="7">
        <f t="shared" si="51"/>
        <v>8.384505099142478E-2</v>
      </c>
      <c r="AA190" s="15">
        <f>SUM(F187:F190)</f>
        <v>60888</v>
      </c>
      <c r="AB190" s="13">
        <f>SUM(J187:J190)</f>
        <v>422075</v>
      </c>
      <c r="AC190">
        <f>SUM(N188:N190)</f>
        <v>3917</v>
      </c>
      <c r="AD190" s="11">
        <f>SUM(N187)</f>
        <v>8625</v>
      </c>
    </row>
    <row r="191" spans="1:31" s="6" customFormat="1" x14ac:dyDescent="0.25">
      <c r="W191" s="6">
        <f>SUM(W187:W190)/Y191</f>
        <v>1.4713244013346606E-3</v>
      </c>
      <c r="X191" s="6">
        <f>SUM(X187:X190)/Y191</f>
        <v>5.5386893602118098E-2</v>
      </c>
      <c r="Y191" s="9">
        <f t="shared" ref="X191:Y191" si="52">SUM(Y187:Y190)</f>
        <v>525377</v>
      </c>
      <c r="AA191" s="16">
        <f>AA190/$Y191</f>
        <v>0.11589391998507738</v>
      </c>
      <c r="AB191" s="14">
        <f t="shared" ref="AB191:AD191" si="53">AB190/$Y191</f>
        <v>0.80337548084518351</v>
      </c>
      <c r="AC191" s="6">
        <f t="shared" si="53"/>
        <v>7.4555985511356605E-3</v>
      </c>
      <c r="AD191" s="12">
        <f t="shared" si="53"/>
        <v>1.6416782615150644E-2</v>
      </c>
      <c r="AE191" s="6">
        <f>SUM(W191:X191,AC191)</f>
        <v>6.4313816554588427E-2</v>
      </c>
    </row>
  </sheetData>
  <conditionalFormatting sqref="G1:G1048576 K1:K1048576 O1:O1048576 S1:S1048576">
    <cfRule type="cellIs" dxfId="10" priority="3" operator="equal">
      <formula>"iTrace"</formula>
    </cfRule>
    <cfRule type="cellIs" dxfId="9" priority="4" operator="equal">
      <formula>"AI"</formula>
    </cfRule>
    <cfRule type="cellIs" dxfId="8" priority="5" operator="equal">
      <formula>"fileExplorer"</formula>
    </cfRule>
    <cfRule type="containsText" dxfId="7" priority="6" operator="containsText" text="code_report">
      <formula>NOT(ISERROR(SEARCH("code_report",G1)))</formula>
    </cfRule>
  </conditionalFormatting>
  <conditionalFormatting sqref="Z1:Z1048576">
    <cfRule type="cellIs" dxfId="0" priority="2" operator="greaterThan">
      <formula>30</formula>
    </cfRule>
    <cfRule type="cellIs" dxfId="1" priority="1" operator="greaterThan">
      <formula>0.3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20251123_205922_gazes_gaze_coun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Emory Smith</cp:lastModifiedBy>
  <dcterms:created xsi:type="dcterms:W3CDTF">2025-11-24T16:52:22Z</dcterms:created>
  <dcterms:modified xsi:type="dcterms:W3CDTF">2025-11-25T14:44:05Z</dcterms:modified>
</cp:coreProperties>
</file>